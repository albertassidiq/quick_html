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mc:AlternateContent xmlns:mc="http://schemas.openxmlformats.org/markup-compatibility/2006">
    <mc:Choice Requires="x15">
      <x15ac:absPath xmlns:x15ac="http://schemas.microsoft.com/office/spreadsheetml/2010/11/ac" url="C:\Users\Axioo Pongo\Downloads\"/>
    </mc:Choice>
  </mc:AlternateContent>
  <xr:revisionPtr revIDLastSave="0" documentId="13_ncr:1_{08299E8D-5EE7-4C0A-A64F-E5FB572BD86A}" xr6:coauthVersionLast="47" xr6:coauthVersionMax="47" xr10:uidLastSave="{00000000-0000-0000-0000-000000000000}"/>
  <bookViews>
    <workbookView xWindow="-108" yWindow="-108" windowWidth="23256" windowHeight="13176" xr2:uid="{00000000-000D-0000-FFFF-FFFF00000000}"/>
  </bookViews>
  <sheets>
    <sheet name="LKE Desa dan Kak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UHlu3alXzRoUrGm+txnU2T6HKm2byW+ERSicJkPuRFw="/>
    </ext>
  </extLst>
</workbook>
</file>

<file path=xl/calcChain.xml><?xml version="1.0" encoding="utf-8"?>
<calcChain xmlns="http://schemas.openxmlformats.org/spreadsheetml/2006/main">
  <c r="J163" i="1" l="1"/>
  <c r="I163" i="1"/>
  <c r="G163" i="1"/>
  <c r="J159" i="1"/>
  <c r="I159" i="1"/>
  <c r="G159" i="1"/>
  <c r="G156" i="1"/>
  <c r="I154" i="1"/>
  <c r="I153" i="1" s="1"/>
  <c r="J149" i="1"/>
  <c r="I149" i="1"/>
  <c r="G149" i="1"/>
  <c r="J145" i="1"/>
  <c r="I145" i="1"/>
  <c r="G145" i="1"/>
  <c r="I144" i="1"/>
  <c r="J140" i="1"/>
  <c r="I140" i="1"/>
  <c r="G140" i="1"/>
  <c r="I139" i="1"/>
  <c r="I138" i="1" s="1"/>
  <c r="J136" i="1"/>
  <c r="I136" i="1"/>
  <c r="G136" i="1"/>
  <c r="J134" i="1"/>
  <c r="I134" i="1"/>
  <c r="G134" i="1"/>
  <c r="I133" i="1"/>
  <c r="J131" i="1"/>
  <c r="I131" i="1"/>
  <c r="G131" i="1"/>
  <c r="J129" i="1"/>
  <c r="I129" i="1"/>
  <c r="G129" i="1"/>
  <c r="J127" i="1"/>
  <c r="I127" i="1"/>
  <c r="I119" i="1" s="1"/>
  <c r="I115" i="1" s="1"/>
  <c r="G127" i="1"/>
  <c r="J125" i="1"/>
  <c r="I125" i="1"/>
  <c r="G125" i="1"/>
  <c r="J123" i="1"/>
  <c r="I123" i="1"/>
  <c r="G123" i="1"/>
  <c r="J120" i="1"/>
  <c r="I120" i="1"/>
  <c r="G120" i="1"/>
  <c r="J117" i="1"/>
  <c r="I117" i="1"/>
  <c r="G117" i="1"/>
  <c r="I116" i="1"/>
  <c r="I108" i="1"/>
  <c r="J108" i="1" s="1"/>
  <c r="H108" i="1"/>
  <c r="I106" i="1"/>
  <c r="J106" i="1" s="1"/>
  <c r="J104" i="1" s="1"/>
  <c r="H106" i="1"/>
  <c r="H104" i="1"/>
  <c r="I100" i="1"/>
  <c r="J100" i="1" s="1"/>
  <c r="J99" i="1" s="1"/>
  <c r="H100" i="1"/>
  <c r="H99" i="1" s="1"/>
  <c r="I95" i="1"/>
  <c r="J95" i="1" s="1"/>
  <c r="H95" i="1"/>
  <c r="H90" i="1" s="1"/>
  <c r="I91" i="1"/>
  <c r="J91" i="1" s="1"/>
  <c r="H91" i="1"/>
  <c r="I86" i="1"/>
  <c r="J86" i="1" s="1"/>
  <c r="H86" i="1"/>
  <c r="I82" i="1"/>
  <c r="J82" i="1" s="1"/>
  <c r="J81" i="1" s="1"/>
  <c r="H82" i="1"/>
  <c r="H81" i="1" s="1"/>
  <c r="I77" i="1"/>
  <c r="J77" i="1" s="1"/>
  <c r="J76" i="1" s="1"/>
  <c r="H77" i="1"/>
  <c r="H76" i="1"/>
  <c r="I73" i="1"/>
  <c r="J73" i="1" s="1"/>
  <c r="H73" i="1"/>
  <c r="I71" i="1"/>
  <c r="J71" i="1" s="1"/>
  <c r="H71" i="1"/>
  <c r="I69" i="1"/>
  <c r="J69" i="1" s="1"/>
  <c r="H69" i="1"/>
  <c r="I67" i="1"/>
  <c r="J67" i="1" s="1"/>
  <c r="H67" i="1"/>
  <c r="I65" i="1"/>
  <c r="J65" i="1" s="1"/>
  <c r="H65" i="1"/>
  <c r="I63" i="1"/>
  <c r="J63" i="1" s="1"/>
  <c r="H63" i="1"/>
  <c r="H61" i="1"/>
  <c r="I57" i="1"/>
  <c r="H57" i="1"/>
  <c r="H56" i="1" s="1"/>
  <c r="I54" i="1"/>
  <c r="J54" i="1" s="1"/>
  <c r="H54" i="1"/>
  <c r="I52" i="1"/>
  <c r="J52" i="1" s="1"/>
  <c r="H52" i="1"/>
  <c r="I50" i="1"/>
  <c r="J50" i="1" s="1"/>
  <c r="H50" i="1"/>
  <c r="I48" i="1"/>
  <c r="J48" i="1" s="1"/>
  <c r="H48" i="1"/>
  <c r="I46" i="1"/>
  <c r="J46" i="1" s="1"/>
  <c r="H46" i="1"/>
  <c r="I44" i="1"/>
  <c r="J44" i="1" s="1"/>
  <c r="H44" i="1"/>
  <c r="H42" i="1" s="1"/>
  <c r="J37" i="1"/>
  <c r="J36" i="1" s="1"/>
  <c r="I37" i="1"/>
  <c r="H37" i="1"/>
  <c r="H36" i="1"/>
  <c r="I32" i="1"/>
  <c r="J32" i="1" s="1"/>
  <c r="J31" i="1" s="1"/>
  <c r="H32" i="1"/>
  <c r="H31" i="1" s="1"/>
  <c r="H30" i="1" s="1"/>
  <c r="I28" i="1"/>
  <c r="J28" i="1" s="1"/>
  <c r="H28" i="1"/>
  <c r="H25" i="1" s="1"/>
  <c r="I26" i="1"/>
  <c r="J26" i="1" s="1"/>
  <c r="J25" i="1" s="1"/>
  <c r="H26" i="1"/>
  <c r="I22" i="1"/>
  <c r="H22" i="1"/>
  <c r="H21" i="1" s="1"/>
  <c r="J42" i="1" l="1"/>
  <c r="H75" i="1"/>
  <c r="J61" i="1"/>
  <c r="J90" i="1"/>
  <c r="J75" i="1" s="1"/>
  <c r="H20" i="1"/>
  <c r="J22" i="1"/>
  <c r="J21" i="1" s="1"/>
  <c r="J20" i="1" s="1"/>
  <c r="J57" i="1"/>
  <c r="J56" i="1" s="1"/>
  <c r="J30" i="1" s="1"/>
</calcChain>
</file>

<file path=xl/sharedStrings.xml><?xml version="1.0" encoding="utf-8"?>
<sst xmlns="http://schemas.openxmlformats.org/spreadsheetml/2006/main" count="442" uniqueCount="336">
  <si>
    <t>INSTRUMENT PENILAIAN MANDIRI DESA/KELURAHAN DAN KABUPATEN/KOTA - DESA CANTIK 2026</t>
  </si>
  <si>
    <t>BLOK I. IDENTITAS DESA/KELURAHAN</t>
  </si>
  <si>
    <r>
      <rPr>
        <sz val="11"/>
        <color theme="1"/>
        <rFont val="Calibri"/>
      </rPr>
      <t xml:space="preserve">PROVINSI : </t>
    </r>
    <r>
      <rPr>
        <i/>
        <sz val="11"/>
        <color theme="1"/>
        <rFont val="Calibri"/>
      </rPr>
      <t>(predefined)</t>
    </r>
  </si>
  <si>
    <r>
      <rPr>
        <sz val="11"/>
        <color theme="1"/>
        <rFont val="Calibri"/>
      </rPr>
      <t xml:space="preserve">KABUPATEN/KOTA: </t>
    </r>
    <r>
      <rPr>
        <i/>
        <sz val="11"/>
        <color theme="1"/>
        <rFont val="Calibri"/>
      </rPr>
      <t>(predefined)</t>
    </r>
  </si>
  <si>
    <r>
      <rPr>
        <sz val="11"/>
        <color theme="1"/>
        <rFont val="Calibri"/>
      </rPr>
      <t xml:space="preserve">KECAMATAN: </t>
    </r>
    <r>
      <rPr>
        <i/>
        <sz val="11"/>
        <color theme="1"/>
        <rFont val="Calibri"/>
      </rPr>
      <t>(predefined)</t>
    </r>
  </si>
  <si>
    <r>
      <rPr>
        <sz val="11"/>
        <color theme="1"/>
        <rFont val="Calibri"/>
      </rPr>
      <t xml:space="preserve">DESA/KELURAHAN: </t>
    </r>
    <r>
      <rPr>
        <i/>
        <sz val="11"/>
        <color theme="1"/>
        <rFont val="Calibri"/>
      </rPr>
      <t>(predefined)</t>
    </r>
  </si>
  <si>
    <r>
      <rPr>
        <sz val="11"/>
        <color theme="1"/>
        <rFont val="Calibri"/>
      </rPr>
      <t xml:space="preserve">KLASIFIKASI DESA/KELURAHAN: </t>
    </r>
    <r>
      <rPr>
        <i/>
        <sz val="11"/>
        <color theme="1"/>
        <rFont val="Calibri"/>
      </rPr>
      <t>(predefined)</t>
    </r>
  </si>
  <si>
    <t>BLOK II. APAKAH DESA/KELURAHAN AKAN DIAJUKAN DALAM PENILAIAN NOMINASI DESA CANTIK TERBAIK?</t>
  </si>
  <si>
    <t>a</t>
  </si>
  <si>
    <r>
      <rPr>
        <sz val="11"/>
        <color theme="1"/>
        <rFont val="Calibri"/>
      </rPr>
      <t xml:space="preserve">Ada berapa desa/kelurahan dari Kabupaten/Kota </t>
    </r>
    <r>
      <rPr>
        <i/>
        <sz val="11"/>
        <color rgb="FF783F04"/>
        <rFont val="Calibri"/>
      </rPr>
      <t>(predefined)</t>
    </r>
    <r>
      <rPr>
        <sz val="11"/>
        <color theme="1"/>
        <rFont val="Calibri"/>
      </rPr>
      <t xml:space="preserve"> yang diajukan dalam penilaian nominasi Desa Cantik terbaik?</t>
    </r>
  </si>
  <si>
    <r>
      <rPr>
        <sz val="11"/>
        <color theme="1"/>
        <rFont val="Calibri"/>
      </rPr>
      <t xml:space="preserve">Tuliskan ... (Jika </t>
    </r>
    <r>
      <rPr>
        <sz val="11"/>
        <color rgb="FFFF0000"/>
        <rFont val="Calibri"/>
      </rPr>
      <t xml:space="preserve">1a </t>
    </r>
    <r>
      <rPr>
        <sz val="11"/>
        <color theme="1"/>
        <rFont val="Calibri"/>
      </rPr>
      <t>= 0 , maka --&gt; ( Tidak mengisi semua indikator. Isi hanya indikator yang di shading hijau )</t>
    </r>
  </si>
  <si>
    <t>...</t>
  </si>
  <si>
    <r>
      <rPr>
        <sz val="11"/>
        <color theme="1"/>
        <rFont val="Calibri"/>
      </rPr>
      <t xml:space="preserve">Apakah Desa/Kelurahan </t>
    </r>
    <r>
      <rPr>
        <i/>
        <sz val="11"/>
        <color rgb="FF783F04"/>
        <rFont val="Calibri"/>
      </rPr>
      <t>(predefined)</t>
    </r>
    <r>
      <rPr>
        <sz val="11"/>
        <color theme="1"/>
        <rFont val="Calibri"/>
      </rPr>
      <t xml:space="preserve"> akan diajukan dalam penilaian nominasi Desa Cantik terbaik?</t>
    </r>
  </si>
  <si>
    <t>Ya --&gt; Lanjut ke 2b</t>
  </si>
  <si>
    <t>Tidak --&gt;  ( Tidak mengisi semua indikator. Isi hanya indikator yang di shading hijau  )</t>
  </si>
  <si>
    <t>b</t>
  </si>
  <si>
    <r>
      <rPr>
        <sz val="11"/>
        <color theme="1"/>
        <rFont val="Calibri"/>
      </rPr>
      <t xml:space="preserve">Jika jumlah desa/kelurahan yang diajukan lebih dari 1 (satu), Menurut Tim Desa Cantik BPS Kabupaten/Kota, Desa/Kelurahan </t>
    </r>
    <r>
      <rPr>
        <i/>
        <sz val="11"/>
        <color rgb="FF783F04"/>
        <rFont val="Calibri"/>
      </rPr>
      <t xml:space="preserve">(predefined) </t>
    </r>
    <r>
      <rPr>
        <sz val="11"/>
        <color theme="1"/>
        <rFont val="Calibri"/>
      </rPr>
      <t xml:space="preserve">ini berada pada rangking berapa di Kabupaten/Kota </t>
    </r>
    <r>
      <rPr>
        <i/>
        <sz val="11"/>
        <color rgb="FF783F04"/>
        <rFont val="Calibri"/>
      </rPr>
      <t>(predefined)</t>
    </r>
    <r>
      <rPr>
        <sz val="11"/>
        <color theme="1"/>
        <rFont val="Calibri"/>
      </rPr>
      <t>?</t>
    </r>
  </si>
  <si>
    <t>Tuliskan ... (lanjut ke Blok III. Isi semua indikator)</t>
  </si>
  <si>
    <t>BLOK III. CAKUPAN PENILAIAN MANDIRI DESA/KELURAHAN</t>
  </si>
  <si>
    <t>INDIKATOR</t>
  </si>
  <si>
    <t>JAWABAN</t>
  </si>
  <si>
    <t>SKOR</t>
  </si>
  <si>
    <t>BOBOT</t>
  </si>
  <si>
    <t>TRANSFORMASI</t>
  </si>
  <si>
    <t>PENJELASAN DAN BUKTI DUKUNG</t>
  </si>
  <si>
    <t>BUKTI DUKUNG</t>
  </si>
  <si>
    <t>PENJELASAN</t>
  </si>
  <si>
    <t>Rincian</t>
  </si>
  <si>
    <t>Rule Validasi</t>
  </si>
  <si>
    <t>ASPEK TATA KELOLA DESA CANTIK DI DESA/KELURAHAN</t>
  </si>
  <si>
    <t>Agen/Komunitas Statistik</t>
  </si>
  <si>
    <r>
      <rPr>
        <sz val="11"/>
        <color theme="1"/>
        <rFont val="Calibri"/>
      </rPr>
      <t xml:space="preserve">Apakah Desa/kelurahan </t>
    </r>
    <r>
      <rPr>
        <i/>
        <sz val="11"/>
        <color rgb="FF7F6000"/>
        <rFont val="Calibri"/>
      </rPr>
      <t>(predefined)</t>
    </r>
    <r>
      <rPr>
        <sz val="11"/>
        <color theme="1"/>
        <rFont val="Calibri"/>
      </rPr>
      <t xml:space="preserve"> sudah melakukan penunjukan Agen/Komunitas Statistik untuk memastikan bahwa pengetahuan statistik yang diperoleh selama pembinaan tetap dapat dilaksanakan di desa/kelurahan secara berkelanjutan?</t>
    </r>
  </si>
  <si>
    <r>
      <rPr>
        <sz val="11"/>
        <color theme="1"/>
        <rFont val="Calibri"/>
      </rPr>
      <t xml:space="preserve">Ya sudah, bisa menunjukkan </t>
    </r>
    <r>
      <rPr>
        <b/>
        <sz val="11"/>
        <color theme="1"/>
        <rFont val="Calibri"/>
      </rPr>
      <t>surat</t>
    </r>
    <r>
      <rPr>
        <sz val="11"/>
        <color theme="1"/>
        <rFont val="Calibri"/>
      </rPr>
      <t xml:space="preserve"> penunjukan dari Kepala Desa/Kelurahan dan</t>
    </r>
    <r>
      <rPr>
        <b/>
        <sz val="11"/>
        <color theme="1"/>
        <rFont val="Calibri"/>
      </rPr>
      <t xml:space="preserve"> aktif</t>
    </r>
    <r>
      <rPr>
        <sz val="11"/>
        <color theme="1"/>
        <rFont val="Calibri"/>
      </rPr>
      <t xml:space="preserve"> dalam penyelenggaraan kegiatan statistik di desa/kelurahan</t>
    </r>
  </si>
  <si>
    <r>
      <rPr>
        <sz val="11"/>
        <color theme="1"/>
        <rFont val="Calibri"/>
      </rPr>
      <t xml:space="preserve">Bukti Dukung berupa Surat Keputusan/Surat Penunjukan Agen Statistik di desa/kelurahan serta penjelesan dan dokumentasi kegiatan yang dilakukan agen statistik. SK dittd bukan oleh kepala BPS.
Agen Statistik adalah orang yang ditunjuk kepala desa/lurah dan telah mendapatkan pelatihan terkait statistik dari BPS. Agen statistik bertugas untuk meningkatkan pengelolaan statistik di desa/kelurahan serta menyebarkan pemahaman tentang statistik, termasuk kepada masyarakat luas.
</t>
    </r>
    <r>
      <rPr>
        <b/>
        <sz val="11"/>
        <color theme="1"/>
        <rFont val="Calibri"/>
      </rPr>
      <t>Keaktifan agen dapat dilihat dari:</t>
    </r>
    <r>
      <rPr>
        <sz val="11"/>
        <color theme="1"/>
        <rFont val="Calibri"/>
      </rPr>
      <t xml:space="preserve">
1. Daftar hadir rapat kehadiran agen statistik, 
2. Dokumentasi berupa Foto dan Video pada saat kegiatan-kegiatan Desa Cantik</t>
    </r>
  </si>
  <si>
    <r>
      <rPr>
        <sz val="11"/>
        <color theme="1"/>
        <rFont val="Calibri"/>
      </rPr>
      <t xml:space="preserve">Surat Keputusan/Surat Penunjukan Agen Statistik di desa/kelurahan serta penjelesan dan </t>
    </r>
    <r>
      <rPr>
        <b/>
        <sz val="11"/>
        <color theme="1"/>
        <rFont val="Calibri"/>
      </rPr>
      <t>dokumentasi kegiatan yang dilakukan agen statistik</t>
    </r>
    <r>
      <rPr>
        <sz val="11"/>
        <color theme="1"/>
        <rFont val="Calibri"/>
      </rPr>
      <t xml:space="preserve">.
</t>
    </r>
    <r>
      <rPr>
        <b/>
        <sz val="11"/>
        <color theme="1"/>
        <rFont val="Calibri"/>
      </rPr>
      <t>Keaktifan agen dapat dilihat dari:</t>
    </r>
    <r>
      <rPr>
        <sz val="11"/>
        <color theme="1"/>
        <rFont val="Calibri"/>
      </rPr>
      <t xml:space="preserve">
1. Daftar hadir rapat kehadiran agen statistik, 
2. Dokumentasi berupa Foto dan Video pada saat kegiatan-kegiatan Desa Cantik</t>
    </r>
  </si>
  <si>
    <t>Agen Statistik adalah orang yang ditunjuk kepala desa/lurah dan telah mendapatkan pelatihan terkait statistik dari BPS. Agen statistik bertugas untuk meningkatkan pengelolaan statistik di desa/kelurahan serta menyebarkan pemahaman tentang statistik, termasuk kepada masyarakat luas.</t>
  </si>
  <si>
    <t>11a</t>
  </si>
  <si>
    <t>IF 11a = 1 or 2, tidak muncul field isian link bukti dukung
IF 11a = 3 or 4, muncul field isian link bukti dukung</t>
  </si>
  <si>
    <r>
      <rPr>
        <sz val="11"/>
        <color theme="1"/>
        <rFont val="Calibri"/>
      </rPr>
      <t xml:space="preserve">Ya sudah, bisa menunjukkan </t>
    </r>
    <r>
      <rPr>
        <b/>
        <sz val="11"/>
        <color theme="1"/>
        <rFont val="Calibri"/>
      </rPr>
      <t>surat</t>
    </r>
    <r>
      <rPr>
        <sz val="11"/>
        <color theme="1"/>
        <rFont val="Calibri"/>
      </rPr>
      <t xml:space="preserve"> penunjukan dari Kepala Desa/Kelurahan tapi </t>
    </r>
    <r>
      <rPr>
        <b/>
        <sz val="11"/>
        <color theme="1"/>
        <rFont val="Calibri"/>
      </rPr>
      <t>tidak aktif</t>
    </r>
    <r>
      <rPr>
        <sz val="11"/>
        <color theme="1"/>
        <rFont val="Calibri"/>
      </rPr>
      <t xml:space="preserve"> dalam penyelenggaraan kegiatan statistik di desa/kelurahan</t>
    </r>
  </si>
  <si>
    <r>
      <rPr>
        <sz val="11"/>
        <color rgb="FFFF0000"/>
        <rFont val="Calibri"/>
      </rPr>
      <t xml:space="preserve">Ya sudah, </t>
    </r>
    <r>
      <rPr>
        <b/>
        <sz val="11"/>
        <color rgb="FFFF0000"/>
        <rFont val="Calibri"/>
      </rPr>
      <t>tidak</t>
    </r>
    <r>
      <rPr>
        <sz val="11"/>
        <color rgb="FFFF0000"/>
        <rFont val="Calibri"/>
      </rPr>
      <t xml:space="preserve"> bisa menunjukkan </t>
    </r>
    <r>
      <rPr>
        <b/>
        <sz val="11"/>
        <color rgb="FFFF0000"/>
        <rFont val="Calibri"/>
      </rPr>
      <t>surat</t>
    </r>
    <r>
      <rPr>
        <sz val="11"/>
        <color rgb="FFFF0000"/>
        <rFont val="Calibri"/>
      </rPr>
      <t xml:space="preserve"> penunjukan dari Kepala Desa/Kelurahan</t>
    </r>
  </si>
  <si>
    <t>Keberlanjutan Desa Cantik di Desa/Kelurahan</t>
  </si>
  <si>
    <r>
      <rPr>
        <sz val="11"/>
        <color theme="1"/>
        <rFont val="Calibri"/>
      </rPr>
      <t xml:space="preserve">Jumlah agen statistik di Desa/kelurahan </t>
    </r>
    <r>
      <rPr>
        <i/>
        <sz val="11"/>
        <color rgb="FF7F6000"/>
        <rFont val="Calibri"/>
      </rPr>
      <t>(predefined)</t>
    </r>
  </si>
  <si>
    <t>lebih dari 1 orang</t>
  </si>
  <si>
    <t>Bukti dukung berupa Surat Keputusan/Surat Penunjukan Agen Statistik di desa/kelurahan disertai penanda jumlah dan keterangan jabatan yang menunjukkan bahwa terdapat Agen Statistik merupakan aparat desa/kelurahan.</t>
  </si>
  <si>
    <t>Surat Keputusan/Surat Penunjukan Agen Statistik di desa/kelurahan</t>
  </si>
  <si>
    <t>12a</t>
  </si>
  <si>
    <t>IF 12a = 0,  tidak muncul field isian link bukti dukung
IF 12a = 1,  muncul field isian link bukti dukung</t>
  </si>
  <si>
    <t>1 orang</t>
  </si>
  <si>
    <r>
      <rPr>
        <sz val="11"/>
        <color theme="1"/>
        <rFont val="Calibri"/>
      </rPr>
      <t xml:space="preserve">Apakah ada agen statistik yang merupakan aparat Desa/kelurahan </t>
    </r>
    <r>
      <rPr>
        <i/>
        <sz val="11"/>
        <color rgb="FF7F6000"/>
        <rFont val="Calibri"/>
      </rPr>
      <t>(predefined)</t>
    </r>
    <r>
      <rPr>
        <sz val="11"/>
        <color theme="1"/>
        <rFont val="Calibri"/>
      </rPr>
      <t xml:space="preserve"> (kaur/kasi/staf)</t>
    </r>
  </si>
  <si>
    <t>Ya</t>
  </si>
  <si>
    <t>12b</t>
  </si>
  <si>
    <t>Tidak</t>
  </si>
  <si>
    <t>ASPEK KAPASITAS STATISTIK DI DESA/KELURAHAN</t>
  </si>
  <si>
    <t>Pembinaan statistik</t>
  </si>
  <si>
    <r>
      <rPr>
        <sz val="11"/>
        <color theme="1"/>
        <rFont val="Calibri"/>
      </rPr>
      <t xml:space="preserve">Apakah telah dilaksanakan pembinaan literasi statistik di Desa/kelurahan </t>
    </r>
    <r>
      <rPr>
        <i/>
        <sz val="11"/>
        <color rgb="FF7F6000"/>
        <rFont val="Calibri"/>
      </rPr>
      <t>(predefined)</t>
    </r>
    <r>
      <rPr>
        <sz val="11"/>
        <color theme="1"/>
        <rFont val="Calibri"/>
      </rPr>
      <t>?</t>
    </r>
  </si>
  <si>
    <r>
      <rPr>
        <sz val="11"/>
        <color theme="1"/>
        <rFont val="Calibri"/>
      </rPr>
      <t xml:space="preserve">Telah dilaksanakan pembinaan literasi statistik kepada </t>
    </r>
    <r>
      <rPr>
        <b/>
        <sz val="11"/>
        <color theme="1"/>
        <rFont val="Calibri"/>
      </rPr>
      <t>agen statistik, aparat desa dan masyarakat</t>
    </r>
  </si>
  <si>
    <t>Bukti Dukung Kegiatan Pembinaan Literasi Statistik: Undangan, notulen, dan daftar hadir  pembinaan terkait literasi statistik.
LIterasi statistik yang dimaksud dalam Program Desa Cantik adalah kemampuan aparat desa dalam memahami, memaknai, mengelola, serta menyajikan data statistik baik dalam bentuk tabel ataupun grafik. Harapannya dapat menggunakan data serta informasi statistik secara tepat dalam pengambilan keputusan
Poin penting untuk pemeriksaan bukti dukung:
untuk skor 3 (agen statistik, aparat desa dan masyarakat)
- Apabila hanya terdapat notulen dan daftar hadir: poin turun 1
- Apabila hanya terdapat undangan dan notulen : poin turun 2
- Apabila hanya undangan saja: poin turun 3 (belum dilaksanakan)
untuk skor 2(agen statistik dan aparat desa)
- Apabila hanya terdapat  notulen dan daftar hadir: poin turun 1
- Apabila hanya terdapat undangan dan notulen : poin turun 1
- Apabila hanya undangan saja: poin turun 2 (belum dilaksanakan)
untuk skor 1 (agen statistik)
- Jika terdapat notulen/daftar hadir tetap nilai 1
- Apabila hanya undangan saja: poin turun 1 (belum dilaksanakan)</t>
  </si>
  <si>
    <r>
      <rPr>
        <sz val="11"/>
        <color theme="1"/>
        <rFont val="Calibri"/>
      </rPr>
      <t xml:space="preserve">Undangan, notulen, dan daftar hadir  pembinaan terkait literasi statistik
Poin penting untuk pemeriksaan bukti dukung:
</t>
    </r>
    <r>
      <rPr>
        <b/>
        <sz val="11"/>
        <color theme="1"/>
        <rFont val="Calibri"/>
      </rPr>
      <t>untuk skor 3 (agen statistik, aparat desa dan masyarakat)</t>
    </r>
    <r>
      <rPr>
        <sz val="11"/>
        <color theme="1"/>
        <rFont val="Calibri"/>
      </rPr>
      <t xml:space="preserve">
- Apabila hanya terdapat notulen dan daftar hadir: poin turun 1
- Apabila hanya terdapat undangan dan notulen : poin turun 2
- Apabila hanya undangan saja: poin turun 3 (belum dilaksanakan)
</t>
    </r>
    <r>
      <rPr>
        <b/>
        <sz val="11"/>
        <color theme="1"/>
        <rFont val="Calibri"/>
      </rPr>
      <t xml:space="preserve">untuk skor 2(agen statistik dan aparat desa)
</t>
    </r>
    <r>
      <rPr>
        <sz val="11"/>
        <color theme="1"/>
        <rFont val="Calibri"/>
      </rPr>
      <t xml:space="preserve">- Apabila hanya terdapat  notulen dan daftar hadir: poin turun 1
- Apabila hanya terdapat undangan dan notulen : poin turun 1
- Apabila hanya undangan saja: poin turun 2 (belum dilaksanakan)
</t>
    </r>
    <r>
      <rPr>
        <b/>
        <sz val="11"/>
        <color theme="1"/>
        <rFont val="Calibri"/>
      </rPr>
      <t xml:space="preserve">untuk skor 1 (agen statistik)
</t>
    </r>
    <r>
      <rPr>
        <sz val="11"/>
        <color theme="1"/>
        <rFont val="Calibri"/>
      </rPr>
      <t>- Jika terdapat notulen/daftar hadir tetap nilai 1
- Apabila hanya undangan saja: poin turun 1 (belum dilaksanakan)</t>
    </r>
  </si>
  <si>
    <t>LIterasi statistik yang dimaksud dalam Program Desa Cantik adalah kemampuan aparat desa dalam memahami, memaknai, mengelola, serta menyajikan data statistik baik dalam bentuk tabel ataupun grafik</t>
  </si>
  <si>
    <t>21a</t>
  </si>
  <si>
    <t>IF 21a = 1, tidak muncul field isian link bukti dukung
IF 21a = 2 - 4, muncul field isian link bukti dukung</t>
  </si>
  <si>
    <r>
      <rPr>
        <sz val="11"/>
        <color theme="1"/>
        <rFont val="Calibri"/>
      </rPr>
      <t xml:space="preserve">Telah dilaksanakan pembinaan literasi statistik kepada </t>
    </r>
    <r>
      <rPr>
        <b/>
        <sz val="11"/>
        <color theme="1"/>
        <rFont val="Calibri"/>
      </rPr>
      <t>agen statistik dan aparat desa</t>
    </r>
  </si>
  <si>
    <r>
      <rPr>
        <sz val="11"/>
        <color theme="1"/>
        <rFont val="Calibri"/>
      </rPr>
      <t xml:space="preserve">Telah dilaksanakan pembinaan literasi statistik kepada </t>
    </r>
    <r>
      <rPr>
        <b/>
        <sz val="11"/>
        <color theme="1"/>
        <rFont val="Calibri"/>
      </rPr>
      <t>agen statistik</t>
    </r>
  </si>
  <si>
    <t xml:space="preserve">Belum dilaksanakan pembinaan literasi statistik </t>
  </si>
  <si>
    <t>Identifikasi Kebutuhan Data</t>
  </si>
  <si>
    <r>
      <rPr>
        <sz val="11"/>
        <color theme="1"/>
        <rFont val="Calibri"/>
      </rPr>
      <t xml:space="preserve">Dalam menyusun program/kegiatan, apakah Desa/kelurahan </t>
    </r>
    <r>
      <rPr>
        <i/>
        <sz val="11"/>
        <color rgb="FF7F6000"/>
        <rFont val="Calibri"/>
      </rPr>
      <t>(predefined)</t>
    </r>
    <r>
      <rPr>
        <sz val="11"/>
        <color theme="1"/>
        <rFont val="Calibri"/>
      </rPr>
      <t xml:space="preserve"> sudah melakukan identifikasi data yang dibutuhkan?</t>
    </r>
  </si>
  <si>
    <t>Ya, ada dokumentasi</t>
  </si>
  <si>
    <r>
      <rPr>
        <sz val="11"/>
        <color theme="1"/>
        <rFont val="Calibri"/>
      </rPr>
      <t xml:space="preserve">Bukti Dukung Kegiatan Identifikasi Kebutuhan Desa/Kelurahan: Undangan, Daftar Hadir, Notulen, Dokumentasi dan Kuesioner Identifikasi Kebutuhan Desa yang Terisi
Catatan: Bukti Skor 2: Form belum terisi namun ada bukti undangan untuk melakukan kegiatan
Link Kuesioner Identifikasi Kebutuhan : </t>
    </r>
    <r>
      <rPr>
        <u/>
        <sz val="11"/>
        <color rgb="FF1155CC"/>
        <rFont val="Calibri"/>
      </rPr>
      <t>http://s.bps.go.id/Kuesioner-IdentifikasiDescan2026</t>
    </r>
    <r>
      <rPr>
        <sz val="11"/>
        <color theme="1"/>
        <rFont val="Calibri"/>
      </rPr>
      <t xml:space="preserve"> </t>
    </r>
  </si>
  <si>
    <t>Form Identifikasi yang sudah terisi lengkap
Dokumentasi berupa Undangan, notulen, dan daftar hadir  terkait proses identifikasi data yang dibutuhkan
Catatan: Bukti Skor 2: Form belum terisi namun ada bukti undangan untuk melakukan kegiatan</t>
  </si>
  <si>
    <t>22a</t>
  </si>
  <si>
    <t>IF 22a = 1, tidak muncul field isian link bukti dukung
IF 22a = 2 - 4, muncul field isian link bukti dukung</t>
  </si>
  <si>
    <t>Ya, tidak ada dokumentasi</t>
  </si>
  <si>
    <t>Ada upaya, belum dilakukan</t>
  </si>
  <si>
    <t>Tidak melakukan identifikasi</t>
  </si>
  <si>
    <r>
      <rPr>
        <sz val="11"/>
        <color rgb="FF0000FF"/>
        <rFont val="Calibri"/>
      </rPr>
      <t>Sesuai dengan Hasil Identifikasi Kebutuhan Desa/Kelurahan, Kegiatan apakah yang akan dilakukan pada Program Desa Cantik di Desa/kelurahan (predefined) (</t>
    </r>
    <r>
      <rPr>
        <i/>
        <sz val="11"/>
        <color rgb="FF0000FF"/>
        <rFont val="Calibri"/>
      </rPr>
      <t>rincian 1001b pada kuesioner identifikasi kebutuhan</t>
    </r>
    <r>
      <rPr>
        <sz val="11"/>
        <color rgb="FF0000FF"/>
        <rFont val="Calibri"/>
      </rPr>
      <t>)?</t>
    </r>
  </si>
  <si>
    <t>Tuliskan</t>
  </si>
  <si>
    <t>Kuesioner Identifikasi yang sudah terisi</t>
  </si>
  <si>
    <t>Pengumpulan/Inventarisasi Data</t>
  </si>
  <si>
    <t>Apakah Desa/kelurahan (predefined) melakukan pengumpulan/Inventarisasi data lengkap sesuai kebutuhan desa/kelurahan? seperti:
Hasil Identifikasi Kebutuhan Desa/Kelurahan Adalah " tampilkan hasil input rincian 2b"</t>
  </si>
  <si>
    <r>
      <rPr>
        <sz val="11"/>
        <color theme="1"/>
        <rFont val="Calibri"/>
      </rPr>
      <t>Pegumpulan/Inventarisasi Data yang dimaksud adalah kegiatan pegumpulan/inventarisasi data baik secara primer maupun sekunder yang dilakukan secara mandiri oleh Desa/Kelurahan sesuai dengan kebutuhan desa/kelurahan (</t>
    </r>
    <r>
      <rPr>
        <b/>
        <sz val="11"/>
        <color theme="1"/>
        <rFont val="Calibri"/>
      </rPr>
      <t>Kuesioner Identifikasi Kebutuhan desa/kelurahan 2025 Rincian 901</t>
    </r>
    <r>
      <rPr>
        <sz val="11"/>
        <color theme="1"/>
        <rFont val="Calibri"/>
      </rPr>
      <t>)</t>
    </r>
  </si>
  <si>
    <r>
      <rPr>
        <sz val="11"/>
        <color theme="1"/>
        <rFont val="Calibri"/>
      </rPr>
      <t>Pegumpulan/Inventarisasi Data yang dimaksud adalah kegiatan pegumpulan/inventarisasi data baik secara primer maupun sekunder yang dilakukan secara mandiri oleh Desa/Kelurahan sesuai dengan kebutuhan desa/kelurahan (</t>
    </r>
    <r>
      <rPr>
        <b/>
        <sz val="11"/>
        <color theme="1"/>
        <rFont val="Calibri"/>
      </rPr>
      <t>Kuesioner Identifikasi Kebutuhan desa/kelurahan 2025 Rincian 901</t>
    </r>
    <r>
      <rPr>
        <sz val="11"/>
        <color theme="1"/>
        <rFont val="Calibri"/>
      </rPr>
      <t>)</t>
    </r>
  </si>
  <si>
    <t>Kuesioner yang digunakan untuk pendataan</t>
  </si>
  <si>
    <t>Bukti dukung berupa Kuesioner. Bukan hanya untuk pengumpulan data primer tetapi juga data sekunder</t>
  </si>
  <si>
    <t>Kuesioner bukan hanya untuk pengumpulan data primer tetapi juga data sekunder</t>
  </si>
  <si>
    <t>23a1</t>
  </si>
  <si>
    <t>IF 23a1 = 0,  tidak muncul field isian link bukti dukung
IF 23a1 = 1,  muncul field isian link bukti dukung</t>
  </si>
  <si>
    <t>Rancangan Output Statistik</t>
  </si>
  <si>
    <t>Bukti dukung berupa Rancangan output statistik yang akan dihasilkan, dapat berupa dummy grafik atau tabel berisi variabel/indikator yang ingin dihasilkan</t>
  </si>
  <si>
    <t>23a2</t>
  </si>
  <si>
    <t>IF 23a2 = 0,  tidak muncul field isian link bukti dukung
IF 23a2 = 1,  muncul field isian link bukti dukung</t>
  </si>
  <si>
    <t>Buku Pedoman/Petunjuk Teknis</t>
  </si>
  <si>
    <t>Bukti dukung berupa Buku pedoman yang menjelaskan tata cara pengumpulan/inventarisasi data dan berisi konsep definisi dari data yang dikumpulkan</t>
  </si>
  <si>
    <t>23a3</t>
  </si>
  <si>
    <t>IF 23a3 = 0,  tidak muncul field isian link bukti dukung
IF 23a3 = 1,  muncul field isian link bukti dukung</t>
  </si>
  <si>
    <t>SOP Kegiatan</t>
  </si>
  <si>
    <t>Bukti dukung berupa SOP Kegiatan pengumpulan data termasuk pendataan dilapangan maupun kompilasi data sekunder</t>
  </si>
  <si>
    <t>SOP Kegiatan pengumpulan data termasuk pendataan dilapangan maupun kompilasi data sekunder</t>
  </si>
  <si>
    <t>23a4</t>
  </si>
  <si>
    <t>IF 23a4 = 0,  tidak muncul field isian link bukti dukung
IF 23a4 = 1,  muncul field isian link bukti dukung</t>
  </si>
  <si>
    <t>Pelatihan/Briefing Petugas</t>
  </si>
  <si>
    <t>Bukti dukung kegiatan pelatihan/briefing berupa undangan, daftar hadir notulensi, dokumentasi serta materi pelatihan/briefing</t>
  </si>
  <si>
    <t>23a5</t>
  </si>
  <si>
    <t>IF 23a5 = 0,  tidak muncul field isian link bukti dukung
IF 23a5 = 1,  muncul field isian link bukti dukung</t>
  </si>
  <si>
    <t>Data hasil pengumpulan (Hasil Entry/Hasil Kompilasi)</t>
  </si>
  <si>
    <t>Bukti dukung berupa Data hasil pengumpulan/inventarisasi data yang belum diolah dalam format pdf</t>
  </si>
  <si>
    <t>23a6</t>
  </si>
  <si>
    <t>IF 23a6 = 0,  tidak muncul field isian link bukti dukung
IF 23a6 = 1,  muncul field isian link bukti dukung</t>
  </si>
  <si>
    <t>Pengolahan Data</t>
  </si>
  <si>
    <t>Apakah agen statistik Desa/kelurahan (predefined) mampu melakukan pengolahan data dalam bentuk tabel dan grafik?</t>
  </si>
  <si>
    <t>Ya agen statistik mampu mengolah data dan bisa menunjukkan hasil pengolahan berupa tabel (minimal tabel 2 arah sebanyak 2 tabel) dan 3 jenis grafik</t>
  </si>
  <si>
    <t>Bukti dukung berupa tabel/grafik hasil pengolahan agen statistik dalam bentuk excel (dirubah ke format pdf), minimal 2 tabel dan 3 jenis grafik yang berbeda.
Grafik dan Tabel harus memiliki Judul, Tahun, dan Sumber Data
Tabel adalah kumpulan data terkait yang disimpan dalam format yang terdiri dari kolom, dan baris. 
Grafik adalah kumpulan data dari beberapa tabel yang disajikan atau ditampilkan dalam bentuk gambar, seperti persegi, lingkaran, tabung, segitiga, dan lain-lain.
Grafik: Line, Bar, Pie Chart, dll</t>
  </si>
  <si>
    <r>
      <rPr>
        <sz val="11"/>
        <color theme="1"/>
        <rFont val="Calibri"/>
      </rPr>
      <t xml:space="preserve">Tabel/grafik hasil pengolahan agen statistik dalam bentuk </t>
    </r>
    <r>
      <rPr>
        <i/>
        <sz val="11"/>
        <color theme="1"/>
        <rFont val="Calibri"/>
      </rPr>
      <t xml:space="preserve">excel </t>
    </r>
    <r>
      <rPr>
        <sz val="11"/>
        <color rgb="FF0000FF"/>
        <rFont val="Calibri"/>
      </rPr>
      <t>(dirubah ke format pdf)</t>
    </r>
    <r>
      <rPr>
        <i/>
        <sz val="11"/>
        <color theme="1"/>
        <rFont val="Calibri"/>
      </rPr>
      <t xml:space="preserve">, </t>
    </r>
    <r>
      <rPr>
        <sz val="11"/>
        <color theme="1"/>
        <rFont val="Calibri"/>
      </rPr>
      <t>minimal 2 tabel dan 3 jenis grafik yang berbeda.
Grafik dan Tabel harus memiliki Judul, Tahun, dan Sumber Data</t>
    </r>
  </si>
  <si>
    <t>Tabel adalah kumpulan data terkait yang disimpan dalam format yang terdiri dari kolom, dan baris. 
 Grafik adalah kumpulan data dari beberapa tabel yang disajikan atau ditampilkan dalam bentuk gambar, seperti persegi, lingkaran, tabung, segitiga, dan lain-lain.
Grafik: Line, Bar, Pie Chart, dll</t>
  </si>
  <si>
    <t>24a</t>
  </si>
  <si>
    <t>IF 24a = 1, tidak muncul field isian link bukti dukung
IF 24a = 2 - 4, muncul field isian link bukti dukung</t>
  </si>
  <si>
    <t>Ya agen statistik mampu mengolah data dan bisa menunjukkan hasil pengolahan berupa tabel dan grafik</t>
  </si>
  <si>
    <t>Ya agen statistik mampu mengolah data dan bisa menunjukkan hasil pengolahan berupa tabel</t>
  </si>
  <si>
    <t>Agen Statistik belum bisa mengolah data</t>
  </si>
  <si>
    <t>Penyajian Data</t>
  </si>
  <si>
    <r>
      <rPr>
        <sz val="11"/>
        <color theme="1"/>
        <rFont val="Calibri"/>
      </rPr>
      <t xml:space="preserve">Apakah Agen Statistik Desa/kelurahan (predefined) mampu menyajikan data untuk masyarakat luas dalam bentuk </t>
    </r>
    <r>
      <rPr>
        <b/>
        <sz val="11"/>
        <color theme="1"/>
        <rFont val="Calibri"/>
      </rPr>
      <t>(minimal 1 rincian terisi "Ya/Kode 1")</t>
    </r>
    <r>
      <rPr>
        <sz val="11"/>
        <color theme="1"/>
        <rFont val="Calibri"/>
      </rPr>
      <t>:</t>
    </r>
  </si>
  <si>
    <t>- Monografi desa dan kelurahan adalah himpunan data yang
 dilaksanakan oleh pemerintah desa dan kelurahan yang tersusun
 secara sistematis, lengkap, akurat, dan terpadu dalam
 penyelenggaraan pemerintahan (Permendagri No.13 tahun 2012)
(Batas Periode Monografi, Data minimal menggunakan data tahun n-1, contoh: untuk kegiatan Desa Cantik tahun 2025 minimal menggunakan data tahun 2024)
 - Profil Desa dan Kelurahan adalah gambaran menyeluruh tentang karakter  desa dan kelurahan yang meliputi data dasar keluarga, potensi sumber  daya alam, sumber daya manusia, kelembagaan, prasarana dan sarana  serta perkembangan kemajuan dan permasalahan yang dihadapi desa  dan kelurahan (Permendagri No.12 tahun 2007)
 (Batas Periode Profil, Data minimal menggunakan data tahun n-1, contoh: untuk kegiatan Desa Cantik tahun 2025 minimal menggunakan data tahun 2024 )
 - Booklet/Leaflet Infografis adalah bentuk visual dari informasi, data, atau pengetahuan yang dimaksudkan untuk menyajikan informasi dengan cepat dan jelas. Booklet/leaflet yang dimaksud bukan hanya berupa gambar tanpa ada informasi dan terdiri dari beberapa topik.
- Buku Publikasi Statistik adalah buku yang menyajikan data-data dalam bentuk tabel/grafik disertai dengan penjelasan dan analisis dari data tersebut. Buku publikasi harus ditandatangani minimal kepala desa/kelurahan atau camat.
 - Website desa adalah situs yang dibuat dengan tujuan untuk memuat semua informasi tentang desa. Informasi yang dimaksud adalah data statistik di desa/kelurahan. Dengan adanya website yang lengkap, warga lebih mudah mendapat data mengenai desa dan tentunya resmi karena bersumber dari desa sendiri.</t>
  </si>
  <si>
    <t>Monografi desa/kelurahan</t>
  </si>
  <si>
    <t>Link Bukti Dukung merujuk ke satu file Monografi desa/kelurahan
Monografi desa dan kelurahan adalah himpunan data yang dilaksanakan oleh pemerintah desa dan kelurahan yang tersusun secara sistematis, lengkap, akurat, dan terpadu dalam penyelenggaraan pemerintahan (Permendagri No.13 tahun 2012) (Batas Periode Monografi, Data minimal menggunakan data tahun n-1, contoh: untuk kegiatan Desa Cantik tahun 2025 minimal menggunakan data tahun 2025)</t>
  </si>
  <si>
    <t xml:space="preserve">Link Bukti Dukung merujuk ke satu file Monografi desa/kelurahan
</t>
  </si>
  <si>
    <t>25a1</t>
  </si>
  <si>
    <t>IF 25a1 = 0,  tidak muncul field isian link bukti dukung
IF 25a1 = 1,  muncul field isian link bukti dukung</t>
  </si>
  <si>
    <t>Profil desa/kelurahan</t>
  </si>
  <si>
    <t>Link Bukti Dukung merujuk ke satu file Profil desa/kelurahan
Profil Desa dan Kelurahan adalah gambaran menyeluruh tentang karakter  desa dan kelurahan yang meliputi data dasar keluarga, potensi sumber  daya alam, sumber daya manusia, kelembagaan, prasarana dan sarana  serta perkembangan kemajuan dan permasalahan yang dihadapi desa  dan kelurahan (Permendagri No.12 tahun 2007) (Batas Periode Profil, Data minimal menggunakan data tahun n-1, contoh: untuk kegiatan Desa Cantik tahun 2025 minimal menggunakan data tahun 2025 )</t>
  </si>
  <si>
    <t>Link Bukti Dukung merujuk ke satu file Profil desa/kelurahan</t>
  </si>
  <si>
    <t>25a2</t>
  </si>
  <si>
    <t>IF 25a2 = 0,  tidak muncul field isian link bukti dukung
IF 25a2 = 1,  muncul field isian link bukti dukung</t>
  </si>
  <si>
    <t>Booklet/Leaflet infografis</t>
  </si>
  <si>
    <t>Link Bukti Dukung merujuk ke satu file Booklet/Leaflet infografis
Booklet/Leaflet Infografis adalah bentuk visual dari informasi, data, atau pengetahuan yang dimaksudkan untuk menyajikan informasi dengan cepat dan jelas. Booklet/leaflet yang dimaksud bukan hanya berupa gambar tanpa ada informasi dan terdiri dari beberapa topik.</t>
  </si>
  <si>
    <t>Link Bukti Dukung merujuk ke satu file Booklet/Leaflet infografis</t>
  </si>
  <si>
    <t>25a3</t>
  </si>
  <si>
    <t>IF 25a3 = 0,  tidak muncul field isian link bukti dukung
IF 25a4 = 1,  muncul field isian link bukti dukung</t>
  </si>
  <si>
    <t>Publikasi Menggunakan Data Potensi Desa 2025</t>
  </si>
  <si>
    <t>Link Bukti Dukung merujuk ke satu file buku Publikasi Memanfaatkan Data Potensi Desa
Buku Publikasi Statistik adalah buku yang menyajikan data-data dalam bentuk tabel/grafik disertai dengan penjelasan dan analisis dari data tersebut. Buku publikasi harus ditandatangani minimal kepala desa/kelurahan atau camat.</t>
  </si>
  <si>
    <r>
      <rPr>
        <sz val="11"/>
        <color theme="1"/>
        <rFont val="Calibri"/>
      </rPr>
      <t>Link Bukti Dukung merujuk ke satu file buku Publikasi Menggunakan</t>
    </r>
    <r>
      <rPr>
        <sz val="11"/>
        <color rgb="FFFF0000"/>
        <rFont val="Calibri"/>
      </rPr>
      <t>/Memanfaatkan</t>
    </r>
    <r>
      <rPr>
        <sz val="11"/>
        <color theme="1"/>
        <rFont val="Calibri"/>
      </rPr>
      <t xml:space="preserve"> Data Potensi Desa</t>
    </r>
  </si>
  <si>
    <t>25a4</t>
  </si>
  <si>
    <t>IF 25a4 = 0,  tidak muncul field isian link bukti dukung
IF 25a4 = 1,  muncul field isian link bukti dukung</t>
  </si>
  <si>
    <t>Buku publikasi statistik lainnya ...</t>
  </si>
  <si>
    <t>Link Bukti Dukung merujuk ke satu file buku publikasi statistik
Buku Publikasi Statistik adalah buku yang menyajikan data-data dalam bentuk tabel/grafik disertai dengan penjelasan dan analisis dari data tersebut. Buku publikasi harus ditandatangani minimal kepala desa/kelurahan atau camat.</t>
  </si>
  <si>
    <t>Link Bukti Dukung merujuk ke satu file buku publikasi statistik</t>
  </si>
  <si>
    <t>25a5</t>
  </si>
  <si>
    <t>IF 25a5 = 0,  tidak muncul field isian link bukti dukung
IF 25a5 = 1,  muncul field isian link bukti dukung</t>
  </si>
  <si>
    <t>Website desa/kelurahan yang menyajikan data desa/kelurahan</t>
  </si>
  <si>
    <t>Link Bukti Dukung merujuk ke Link Website desa/kelurahan yang menyajikan data desa/kelurahan
Website desa adalah situs yang dibuat dengan tujuan untuk memuat semua informasi tentang desa. Informasi yang dimaksud adalah data statistik di desa/kelurahan. Dengan adanya website yang lengkap, warga lebih mudah mendapat data mengenai desa dan tentunya resmi karena bersumber dari desa sendiri.</t>
  </si>
  <si>
    <t>Link Bukti Dukung merujuk ke Link Website desa/kelurahan yang menyajikan data desa/kelurahan</t>
  </si>
  <si>
    <t>25a6</t>
  </si>
  <si>
    <t>IF 25a6 = 0,  tidak muncul field isian link bukti dukung
IF 25a6 = 1,  muncul field isian link bukti dukung</t>
  </si>
  <si>
    <t>III. MANAJEMEN DATA DI DESA/KELURAHAN</t>
  </si>
  <si>
    <t>Ketersediaan Data</t>
  </si>
  <si>
    <r>
      <rPr>
        <u/>
        <sz val="11"/>
        <color rgb="FF000000"/>
        <rFont val="Calibri"/>
      </rPr>
      <t xml:space="preserve">Apakah Desa/kelurahan (predefined) mempunyai ragam data Profil desa/kelurahan (Prodeskel) sesuai dengan Permendagri 12 Tahun 2007? 
</t>
    </r>
    <r>
      <rPr>
        <i/>
        <u/>
        <sz val="11"/>
        <color rgb="FF000000"/>
        <rFont val="Calibri"/>
      </rPr>
      <t xml:space="preserve">(Lampiran list ragam data dapat dilihat pada link berikut </t>
    </r>
    <r>
      <rPr>
        <i/>
        <u/>
        <sz val="11"/>
        <color rgb="FF1155CC"/>
        <rFont val="Calibri"/>
      </rPr>
      <t>http://s.bps.go.id/List_Ragam_Data</t>
    </r>
    <r>
      <rPr>
        <i/>
        <u/>
        <sz val="11"/>
        <color rgb="FF000000"/>
        <rFont val="Calibri"/>
      </rPr>
      <t xml:space="preserve"> )</t>
    </r>
  </si>
  <si>
    <t>Ya Ketersediaan data &gt; 75%</t>
  </si>
  <si>
    <r>
      <rPr>
        <sz val="11"/>
        <color theme="1"/>
        <rFont val="Calibri"/>
      </rPr>
      <t xml:space="preserve">Bukti dukung berupa Lampiran Monografi/profil desa yang berisi list variabel dan data-data variabel yang tersedia. Contohnya dapat dlihat pada link berikut </t>
    </r>
    <r>
      <rPr>
        <u/>
        <sz val="11"/>
        <color rgb="FF000000"/>
        <rFont val="Calibri"/>
      </rPr>
      <t>http://s.bps.go.id/ChecklistVariabel</t>
    </r>
    <r>
      <rPr>
        <sz val="11"/>
        <color theme="1"/>
        <rFont val="Calibri"/>
      </rPr>
      <t xml:space="preserve"> 
Menurut Permendagri 12/2007 tentang Pedoman Penyusunan dan Pendayagunaan data Profil Desa dan Kelurahan, ada beberapa data yang harus dimiliki oleh desa/kelurahan.
Batas Periode Ketersediaan Data minimal menggunakan data tahun (n-1), contoh: untuk kegiatan Desa Cantik tahun 2026 minimal menggunakan data tahun 2025</t>
    </r>
  </si>
  <si>
    <t>Lampiran Monografi/profil desa yang berisi list variabel dan data-data variabel</t>
  </si>
  <si>
    <t>Menurut Permendagri 12/2007 tentang Pedoman Penyusunan dan Pendayagunaan data Profil Desa dan Kelurahan, ada beberapa data yang harus dimiliki oleh desa/kelurahan.
Batas Periode Ketersediaan Data minimal menggunakan data tahun (n-1), contoh: untuk kegiatan Desa Cantik tahun 2025 minimal menggunakan data tahun 2024</t>
  </si>
  <si>
    <t>31a</t>
  </si>
  <si>
    <t>IF 31a = 1-4, muncul field isian link bukti dukung</t>
  </si>
  <si>
    <t>Ya Ketersediaan data 50 - 75%</t>
  </si>
  <si>
    <t>Ya Ketersediaan data 25 - 50%</t>
  </si>
  <si>
    <t>Ya Ketersediaan data &lt;25 %</t>
  </si>
  <si>
    <t>Kualitas Data</t>
  </si>
  <si>
    <t>Apakah data di Desa/kelurahan (predefined) sudah konsisten (sama) isiannya antar media publikasi?</t>
  </si>
  <si>
    <t>Ya, sebagian besar data (&gt; 20 variabel) sudah konsisten di semua media publikasi</t>
  </si>
  <si>
    <r>
      <rPr>
        <sz val="11"/>
        <color theme="1"/>
        <rFont val="Calibri"/>
      </rPr>
      <t xml:space="preserve">Bukti dukung berupa file yang berisi perbandingan konsistensi data dari beberapa media publikasi. Contohnya dapat dilihat pada link berikut </t>
    </r>
    <r>
      <rPr>
        <u/>
        <sz val="11"/>
        <color rgb="FF000000"/>
        <rFont val="Calibri"/>
      </rPr>
      <t>http://s.bps.go.id/PerbandinganKonsistensi</t>
    </r>
    <r>
      <rPr>
        <sz val="11"/>
        <color theme="1"/>
        <rFont val="Calibri"/>
      </rPr>
      <t xml:space="preserve"> 
Konsisten artinya data yang sama yang digunakan dalam beberapa publikasi atau laporan harus tetap sama dan tidak berubah selama periode yang sama. Ini penting agar hasil yang dihasilkan dari data tersebut dapat diandalkan, diperbandingkan, dan diverifikasi dengan benar oleh orang lain/pengguna data</t>
    </r>
  </si>
  <si>
    <t>file monografi desa/profil desa, file infografis, link website dan screenshoot lengkap fitur website</t>
  </si>
  <si>
    <t>Konsisten artinya data yang sama yang digunakan dalam beberapa publikasi atau laporan harus tetap sama dan tidak berubah selama periode yang sama. Ini penting agar hasil yang dihasilkan dari data tersebut dapat diandalkan, diperbandingkan, dan diverifikasi dengan benar oleh orang lain/pengguna data</t>
  </si>
  <si>
    <t>31b</t>
  </si>
  <si>
    <t>IF 31b = 1 or 2, tidak muncul field isian link bukti dukung
IF 31b = 3 or 4, muncul field isian link bukti dukung</t>
  </si>
  <si>
    <t>Ya, sebagian kecil data (&lt; 20 variabel) sudah konsisten di semua media publikasi</t>
  </si>
  <si>
    <t>Tidak, karena hanya terdapat satu media publikasi</t>
  </si>
  <si>
    <t>Tidak ada media publikasi</t>
  </si>
  <si>
    <t>Apakah Desa/kelurahan (predefined) sudah memliki metadata statistik?</t>
  </si>
  <si>
    <t>sudah memiliki metadata kegiatan, indikator dan variabel</t>
  </si>
  <si>
    <t>Bukti dukung berupa Dokumen metadata/standar data sesuai ketentuan dalam prinsip Satu Data Indonesia (SDI).
Catatan: Bukti dukung metadata tidak diupload di Indah BPS, cukup sebagai arsip desa/kelurahan
Data yang dikumpulkan di desa memiliki standar data (konsep, definisi, klasifikasi, ukuran, satuan) serta setidaknya memiliki metadata kegiatan, indikator dan variabel.</t>
  </si>
  <si>
    <r>
      <rPr>
        <sz val="11"/>
        <color theme="1"/>
        <rFont val="Calibri"/>
      </rPr>
      <t xml:space="preserve">Dokumen metadata/standar data sesuai ketentuan dalam prinsip Satu Data Indonesia (SDI).
</t>
    </r>
    <r>
      <rPr>
        <sz val="11"/>
        <color theme="1"/>
        <rFont val="Calibri"/>
      </rPr>
      <t>Catatan: Bukti dukung metadata tidak diupload di Indah.</t>
    </r>
  </si>
  <si>
    <t xml:space="preserve">Data yang dikumpulkan di desa memiliki standar data (konsep, definisi, klasifikasi, ukuran, satuan) serta setidaknya memiliki metadata kegiatan, indikator dan variabel.
</t>
  </si>
  <si>
    <t>31c</t>
  </si>
  <si>
    <t>IF 31c = 1, tidak muncul field isian link bukti dukung
IF 31c = 2 - 4, muncul field isian link bukti dukung</t>
  </si>
  <si>
    <t>sudah memiliki metadata kegiatan dan metadata indikator</t>
  </si>
  <si>
    <t>sudah memiliki metadata kegiatan</t>
  </si>
  <si>
    <t>Belum tersedia</t>
  </si>
  <si>
    <t>Akses Data</t>
  </si>
  <si>
    <t>Apakah Desa/kelurahan (predefined) membuka akses data untuk pihak luar yang membutuhkan dalam bentuk website/laporan/buku?</t>
  </si>
  <si>
    <t>Data desa/kelurahan bisa diakses melalui format cetak (print/copy), dan softfile (pdf, Ms word), dan didownload melalui website desa/kelurahan</t>
  </si>
  <si>
    <t>Bukti dukung berupa
1 Foto monografi/profil desa/data desa dalam bentuk cetak 
2. Foto/tautan Tabulasi/infografis/buku/data desa yang disajikan dalam website desa
3. Fitur download data pada website dan hasil downloadnya
Catatan: Data di website yang tidak dapat didownload dalam bentuk excel  maka termasuk skor 2. Bukti excel dibuat ke format pdf
Salah satu elemen penting pada tata kelola pemerintah yang baik adalah keterbukaan. Desa/kelurahan sebagai bagian dari pemerintah termasuk yang harus menjunjung prinsip keterbukaan ini. Kemudahan akses yang dimaksud adalah data publik yang dimiliki desa/kelurahan dapat diakses publik dengan cara yang mudah.</t>
  </si>
  <si>
    <r>
      <rPr>
        <sz val="11"/>
        <color theme="1"/>
        <rFont val="Calibri"/>
      </rPr>
      <t xml:space="preserve">1. Foto/tautan Tabulasi/infografis/buku/data desa yang disajikan dalam website desa
2. Foto monografi/profil desa/data desa dalam bentuk cetak 
Catatan: Data di website yang tidak dapat didownload dalam bentuk excel  maka termasuk skor 2. </t>
    </r>
    <r>
      <rPr>
        <sz val="11"/>
        <color rgb="FF0000FF"/>
        <rFont val="Calibri"/>
      </rPr>
      <t>Bukti excel dibuat ke format pdf</t>
    </r>
  </si>
  <si>
    <t xml:space="preserve">Salah satu elemen penting pada tata kelola pemerintah yang baik adalah keterbukaan. Desa/kelurahan sebagai bagian dari pemerintah termasuk yang harus menjunjung prinsip keterbukaan ini. Kemudahan akses yang dimaksud adalah data publik yang dimiliki desa/kelurahan dapat diakses publik dengan cara yang mudah.
</t>
  </si>
  <si>
    <t>32a</t>
  </si>
  <si>
    <t>IF 32a = 1, tidak muncul field isian link bukti dukung
IF 32a = 2 - 4, muncul field isian link bukti dukung</t>
  </si>
  <si>
    <t>Data desa/kelurahan bisa diakses melalui format cetak (print/copy) dan softfile (pdf, word, excel)</t>
  </si>
  <si>
    <t>Data desa/kelurahan hanya bisa diakses melalui format cetak (print/copy)</t>
  </si>
  <si>
    <t>Tidak tersedia website/laporan/buku yang menyajikan data desa</t>
  </si>
  <si>
    <t xml:space="preserve">Apakah terdapat SOP atau prosedur permintaan data Desa/kelurahan (predefined)? </t>
  </si>
  <si>
    <t>SOP Permintaan data yang terdiri dari (1) Mengunjungi langsung ke kantor desa/kelurahan; (2) Akses permintaan melalui Media Sosial (WA, Akun Medsos); dan (3) Akses permintaan melalui Website</t>
  </si>
  <si>
    <t>Bukti dukung berupa SOP Permintaan data dari desa/kelurahan yang disahkan oleh desa/kelurahan
Prosedur maksudnya adalah serangkaian langkah atau aturan yang harus diikuti oleh individu atau organisasi yang ingin mengakses atau memperoleh informasi dari lembaga pemerintah</t>
  </si>
  <si>
    <t>SOP Permintaan data</t>
  </si>
  <si>
    <t>Prosedur maksudnya adalah serangkaian langkah atau aturan yang harus diikuti oleh individu atau organisasi yang ingin mengakses atau memperoleh informasi dari lembaga pemerintah</t>
  </si>
  <si>
    <t>32b</t>
  </si>
  <si>
    <t>IF 32b = 1, tidak muncul field isian link bukti dukung
IF 32b = 2 - 4, muncul field isian link bukti dukung</t>
  </si>
  <si>
    <t>SOP Permintaan data yang terdiri dari (1) Mengunjungi langsung ke kantor desa/kelurahan; (2) Akses permintaan melalui Media Sosial (WA, Akun Medsos)</t>
  </si>
  <si>
    <t>SOP Permintaan data secara langsung ke kantor desa/kelurahan</t>
  </si>
  <si>
    <t>Tidak terdapat SOP permintaan data</t>
  </si>
  <si>
    <t>Pemutakhiran Data</t>
  </si>
  <si>
    <r>
      <rPr>
        <sz val="11"/>
        <color theme="1"/>
        <rFont val="Calibri"/>
      </rPr>
      <t>Apakah data di Desa/kelurahan (predefined) selalu dimutakhirkan/di</t>
    </r>
    <r>
      <rPr>
        <i/>
        <sz val="11"/>
        <color theme="1"/>
        <rFont val="Calibri"/>
      </rPr>
      <t>update</t>
    </r>
    <r>
      <rPr>
        <sz val="11"/>
        <color theme="1"/>
        <rFont val="Calibri"/>
      </rPr>
      <t>?</t>
    </r>
    <r>
      <rPr>
        <i/>
        <sz val="11"/>
        <color theme="1"/>
        <rFont val="Calibri"/>
      </rPr>
      <t xml:space="preserve"> </t>
    </r>
  </si>
  <si>
    <t>Data rutin (minimal 5 indikator) dimutakhirkan dan dapat menunjukkan kondisi data termutakhir selama 3 series terakhir berturut-turut (bulanan/semesteran/tahunan)</t>
  </si>
  <si>
    <t>Bukti dukung berupa
1. Instrument pemutakhiran (kuesioner/ daftar pertanyaan/ dummy table)
2. Foto/screenshot data desa/kelurahan minimal 3 series terakhir (bulanan/ semesteran/ tahunan).
Pemutakhiran data pemerintah merujuk pada proses pembaruan atau penyegaran data/informasi yang dikelola oleh desa/kelurahan</t>
  </si>
  <si>
    <t>1. Instrument pemutakhiran (kuesioner/ daftar pertanyaan/ dummy table)
2. Foto/screenshot data desa/kelurahan minimal 3 series terakhir (bulanan/ semesteran/ tahunan).</t>
  </si>
  <si>
    <t>Pemutakhiran data pemerintah merujuk pada proses pembaruan atau penyegaran data/informasi yang dikelola oleh desa/kelurahan</t>
  </si>
  <si>
    <t>33a</t>
  </si>
  <si>
    <t>IF 33a = 1, tidak muncul field isian link bukti dukung
IF 33a = 2 - 4, muncul field isian link bukti dukung</t>
  </si>
  <si>
    <t>Data rutin (minimal 5 indikator) dimutakhirkan dan dapat menunjukkan kondisi data termutakhir selama 2 series terakhir berturut-turut (bulanan/semesteran/tahunan)</t>
  </si>
  <si>
    <t>Data (minimal 5 indikator) pernah dimutakhirkan, namun tidak secara rutin</t>
  </si>
  <si>
    <t>Data tidak dimutakhirkan</t>
  </si>
  <si>
    <t>Kebermanfaatan Program Desa Cantik</t>
  </si>
  <si>
    <t>Pemanfaatan Hasil Desa Cantik untuk pembangunan Desa</t>
  </si>
  <si>
    <r>
      <rPr>
        <sz val="11"/>
        <color theme="1"/>
        <rFont val="Calibri"/>
      </rPr>
      <t xml:space="preserve">Pemanfaatan ini sesuai dengan hasil </t>
    </r>
    <r>
      <rPr>
        <b/>
        <sz val="11"/>
        <color theme="1"/>
        <rFont val="Calibri"/>
      </rPr>
      <t>Identifikasi Kebutuhan desa/kelurahan 2025 Rincian 6b. Output ini bisa sama dengan hasil penyajian data pada aspek Kapasitas Statistik</t>
    </r>
    <r>
      <rPr>
        <sz val="11"/>
        <color theme="1"/>
        <rFont val="Calibri"/>
      </rPr>
      <t>.</t>
    </r>
  </si>
  <si>
    <r>
      <rPr>
        <sz val="11"/>
        <color theme="1"/>
        <rFont val="Calibri"/>
      </rPr>
      <t>Pemanfaatan ini sesuai dengan hasil pengisian</t>
    </r>
    <r>
      <rPr>
        <b/>
        <sz val="11"/>
        <color theme="1"/>
        <rFont val="Calibri"/>
      </rPr>
      <t xml:space="preserve"> kuesioner Identifikasi Kebutuhan desa/kelurahan 2025 Rincian 901. Output ini bisa sama dengan hasil penyajian data pada aspek Kapasitas Statistik</t>
    </r>
    <r>
      <rPr>
        <sz val="11"/>
        <color theme="1"/>
        <rFont val="Calibri"/>
      </rPr>
      <t>.</t>
    </r>
  </si>
  <si>
    <t>Apakah data yang dibutuhkan hasil identifikasi kebutuhan desa/kelurahan dapat disediakan melalui kegiatan Desa Cantik?</t>
  </si>
  <si>
    <t>1. Booklet/leaflet infografis
2. Buku Publikasi
3. Website desa/kelurahan yang menyajikan data</t>
  </si>
  <si>
    <t>34a1</t>
  </si>
  <si>
    <t>IF 34a1 = 0,  tidak muncul field isian link bukti dukung
IF 34a1 = 1,  muncul field isian link bukti dukung</t>
  </si>
  <si>
    <t>Jika ya, apakah data tersebut sudah dimaanfaatkan untuk program pembangunan di Desa?</t>
  </si>
  <si>
    <t>Data sudah dimanfaatkan pada program pembangunan di Desa (sudah selesai maupun sedang diimplementasikan)</t>
  </si>
  <si>
    <t xml:space="preserve">Rancangan yang sudah disepakati
Pemanfaatan minimal dapat berupa rancangan yang sudah disepakati aparat desa melalui forum masyarakat desa. </t>
  </si>
  <si>
    <t>Rancangan yang sudah disepakati</t>
  </si>
  <si>
    <t xml:space="preserve">Pemanfaatan minimal dapat berupa rancangan yang sudah disepakati aparat desa melalui forum masyarakat desa. </t>
  </si>
  <si>
    <t>34a2</t>
  </si>
  <si>
    <t>IF 34a2= 0,  tidak muncul field isian link bukti dukung
IF 34a2 = 1,  muncul field isian link bukti dukung</t>
  </si>
  <si>
    <t xml:space="preserve">Data sudah diusulkan oleh pihak desa dan disetujui untuk digunakan pada program pembangunan di Desa </t>
  </si>
  <si>
    <t>Data sudah diusulkan/dirancang oleh pihak desa namun belum disetujui/ dibahas melalui forum masyarakat desa untuk digunakan pada program pembangunan di Desa</t>
  </si>
  <si>
    <t>Belum tersedia rancangan data yang akan diusulkan untuk digunakan pada program pembangunan di Desa</t>
  </si>
  <si>
    <t>BLOK IV. CAKUPAN PENILAIAN MANDIRI BPS KABUPATEN/KOTA</t>
  </si>
  <si>
    <t>NILAI</t>
  </si>
  <si>
    <t>Transformasi</t>
  </si>
  <si>
    <t>I. TATA KELOLA DESA CANTIK DI BPS KABUPATEN/KOTA</t>
  </si>
  <si>
    <t>Pembentukan Tim Desa Cantik</t>
  </si>
  <si>
    <t>Apakah BPS Kabupaten/kota (predefined) telah membentuk tim Desa Cantik?</t>
  </si>
  <si>
    <t>Sudah</t>
  </si>
  <si>
    <t>Bukti dukung berupa SK Tim Desa Cantik BPS Kabupaten/Kota</t>
  </si>
  <si>
    <t>IF 11a = 0,  tidak muncul field isian link bukti dukung
IF 11a = 1,  muncul field isian link bukti dukung</t>
  </si>
  <si>
    <t>Belum</t>
  </si>
  <si>
    <t>Rancangan kegiatan Desa Cantik</t>
  </si>
  <si>
    <t>Apakah telah disusun rancangan kegiatan untuk program Desa Cantik di BPS Kabupaten/Kota (predefined)?</t>
  </si>
  <si>
    <t>Bukti dukung berupa Rancangan kegiatan Desa Cantik BPS Kabupaten/Kota
Pastikan terdapat informasi tentang waktu, tahapan, kegiatan, metode dan rancangan output</t>
  </si>
  <si>
    <t>Apakah pada rancangan kegiatan tersedia?</t>
  </si>
  <si>
    <t>1. Waktu</t>
  </si>
  <si>
    <t>12b1</t>
  </si>
  <si>
    <t>IF 12b1 = 0-1,   tidak muncul field isian link bukti dukung</t>
  </si>
  <si>
    <t>2. Tahapan</t>
  </si>
  <si>
    <t>12b2</t>
  </si>
  <si>
    <t>IF 12b2 = 0-1,   tidak muncul field isian link bukti dukung</t>
  </si>
  <si>
    <t>3. Kegiatan</t>
  </si>
  <si>
    <t>12b3</t>
  </si>
  <si>
    <t>IF 12b3 = 0-1,   tidak muncul field isian link bukti dukung</t>
  </si>
  <si>
    <t>4. Metode</t>
  </si>
  <si>
    <t>12b4</t>
  </si>
  <si>
    <t>IF 12b4 = 0-1,   tidak muncul field isian link bukti dukung</t>
  </si>
  <si>
    <t>5. Rancangan Output</t>
  </si>
  <si>
    <t>12b5</t>
  </si>
  <si>
    <t>IF 12b5 = 0-1,   tidak muncul field isian link bukti dukung</t>
  </si>
  <si>
    <t>Ketersediaan Anggaran Desa Cantik</t>
  </si>
  <si>
    <t>Apakah terdapat anggaran yang dapat digunakan untuk pelaksanaan Desa Cantik di Desa/Kelurahan (predefined) tersedia di BPS Kabupaten/Kota (predefined)?</t>
  </si>
  <si>
    <t>Ya ada di BPS Kabupaten/Kota</t>
  </si>
  <si>
    <t>Bukti dukung berupa Kuitansi pembayaran untuk kegiatan Desa Cantik atau Lembar realisasi anggaran atau laporan kegiatan (perjadin/rapat) terkait kegiatan Desa Cantik</t>
  </si>
  <si>
    <t>13a</t>
  </si>
  <si>
    <t>IF 13a = 0,  tidak muncul field isian link bukti dukung
IF 13a = 1,  muncul field isian link bukti dukung</t>
  </si>
  <si>
    <t xml:space="preserve">Tidak </t>
  </si>
  <si>
    <t>Apakah terdapat anggaran yang bersumber dari Pihak Eksternal (Desa/Kelurahan/Kecamatan /Pemerintah Kab/Kota/Swasta) untuk kegiatan Desa Cantik di Desa/Kelurahan (predefined) ?</t>
  </si>
  <si>
    <t>Bukti dukung berupa Kuitansi pembayaran untuk kegiatan Desa Cantik/kegiatan statistik di desa yang terkait Program Desa Cantik</t>
  </si>
  <si>
    <t>13b</t>
  </si>
  <si>
    <t>II. PEMBINAAN DESA CANTIK</t>
  </si>
  <si>
    <t>Sosialisasi/Pencanangan Desa Cantik</t>
  </si>
  <si>
    <t>Apakah BPS Kabupaten/Kota telah melaksanakan sosialisasi/pencanangan dengan Desa/Kelurahan (predefined)?</t>
  </si>
  <si>
    <t>Sudah dilaksanakan, dengan dihadiri Bupati/Walikota atau Pemerintah Daerah (min. es 2)</t>
  </si>
  <si>
    <t>Bukti Dukung Kegiatan Koordinasi/Sosialisasi/Pencanangan, berisi: Undangan, Daftar Hadir, Notulen, Dokumentasi
Apabila BPS Kabupaten/Kota telah melakukan kegiatan sosialisasi/pencanangan dengan Desa/Kelurahan tanpa dihadiri Bupati/Walikota/Es. 2 Pemda, namun memiliki surat dukungan Bupati/Walikota terkait pelaksanaan kegiatan Desa Cantik di wilayahnya
(jika yang hadir es 3 pemda/staf kecamatan maka poin = 1)
Poin penting untuk pemeriksaan bukti dukung:
untuk skor 3 (dihadiri Bupati/Walikota atau Pemerintah Daerah (min. es 2))
- Apabila hanya terdapat notulen dan daftar hadir: poin turun 1
- Apabila hanya terdapat undangan dan notulen : poin turun 2
- Apabila hanya undangan saja: poin turun 3 (belum dilaksanakan)
untuk skor 2 (dihadiri Camat)
- Apabila hanya terdapat  notulen dan daftar hadir: poin turun 1
- Apabila hanya terdapat undangan dan notulen : poin turun 1
- Apabila hanya undangan saja: poin turun 2 (belum dilaksanakan)
untuk skor 1 (dihadiri Kades/Lurah)
- Jika terdapat notulen/daftar hadir tetap nilai 1
- Apabila hanya undangan saja: poin turun 1 (belum dilaksanakan)</t>
  </si>
  <si>
    <t xml:space="preserve">IF 21a = 1, tidak muncul field isian link bukti dukung
IF 21a = 2 - 4, muncul field isian link bukti dukung"
</t>
  </si>
  <si>
    <t>Sudah dilaksanakan, dengan dihadiri Camat</t>
  </si>
  <si>
    <t>Sudah dilaksanakan, dengan dihadiri Kades/Lurah</t>
  </si>
  <si>
    <t>Tidak/Belum Dilaksanakan</t>
  </si>
  <si>
    <t xml:space="preserve">Pelaksanaan Pembinaan </t>
  </si>
  <si>
    <t>Bagaimana realisasi rancangan pembinaan oleh  BPS Kabupaten/Kota (predefined)  untuk program Desa Cantik di Desa/Kelurahan (predefined)?</t>
  </si>
  <si>
    <t>Jumlah pembinaan dilakukan sesuai dengan rancangan pembinaan, dan sesuai jadwal</t>
  </si>
  <si>
    <t>Bukti dukung berupa 
- Dokumen rancangan pembinaan
- Realisasi Pembinaan (Daftar Hadir dan Notulen)
Poin pemeriksaan:
Bandingkan realisasi dengan dokuemn rancangan pembinaan</t>
  </si>
  <si>
    <t xml:space="preserve">IF 22a = 1, tidak muncul field isian link bukti dukung
IF 22a = 2 - 4, muncul field isian link bukti dukung"
</t>
  </si>
  <si>
    <t>Jumlah pembinaan dilakukan sesuai dengan rancangan pembinaan, tetapi jadwalnya tidak sesuai</t>
  </si>
  <si>
    <t>Jumlah pembinaan dilakukan lebih sedikit dari rancangan yang telah ditetapkan</t>
  </si>
  <si>
    <t>Belum dilaksanakan Pembinaan</t>
  </si>
  <si>
    <t>Berapa kali dilaksanakan pembinaan kepada Desa/Kelurahan (predefined)?</t>
  </si>
  <si>
    <t>Telah dilaksanakan pembinaan lebih dari 2 kali</t>
  </si>
  <si>
    <t>Bukti dukung berupa Realisasi Pembinaan (Daftar Hadir dan Notulen)</t>
  </si>
  <si>
    <t>22b</t>
  </si>
  <si>
    <t xml:space="preserve">IF 22b = 1, tidak muncul field isian link bukti dukung
IF 22b = 2 - 4, muncul field isian link bukti dukung"
</t>
  </si>
  <si>
    <t>Telah dilaksanakan pembinaan 2 kali</t>
  </si>
  <si>
    <t>Telah dilaksanakan 1 kali</t>
  </si>
  <si>
    <t xml:space="preserve">Belum dilaksanakan pembinaan sama sekali </t>
  </si>
  <si>
    <t>III. PENCAPAIAN TUJUAN</t>
  </si>
  <si>
    <t>Pembinaan terkait Peningkatan Literasi Penyelenggaraan Kegiatan Statistik</t>
  </si>
  <si>
    <t xml:space="preserve">Bagaimana pelaksanaan pembinaan desa cantik yang dilakukan di Desa/Kelurahan (predefined)? </t>
  </si>
  <si>
    <r>
      <rPr>
        <sz val="11"/>
        <color theme="1"/>
        <rFont val="Calibri"/>
      </rPr>
      <t xml:space="preserve">Undangan, Daftar Hadir, Notulen serta Dokumentasi yang memperlihatkan penyampaian materi GSBPM
Poin pemeriksaan bukti dukung:
</t>
    </r>
    <r>
      <rPr>
        <b/>
        <sz val="11"/>
        <color theme="1"/>
        <rFont val="Calibri"/>
      </rPr>
      <t>-</t>
    </r>
    <r>
      <rPr>
        <sz val="11"/>
        <color theme="1"/>
        <rFont val="Calibri"/>
      </rPr>
      <t xml:space="preserve"> Indikator a2: Wajib terdapat daftar hadir untuk memeriksa kehadiran aparat, Jika tidak terdapat daftar hadir maka poin = 1
- Indikator b: Wajib terdapat notulen yang memperlihatkan penyampaian  atau diskusi materi GSBPM oleh Pembina Desa Cantik</t>
    </r>
  </si>
  <si>
    <t>Apakah menyampaikan materi tentang Literasi Statistik (GSBPM)?</t>
  </si>
  <si>
    <t>a1</t>
  </si>
  <si>
    <t>Berapa Jumlah Perangkat Desa/Kelurahan (predefined) sesuai dengan SOTK ?</t>
  </si>
  <si>
    <t>... (tuliskan)</t>
  </si>
  <si>
    <t>31a1</t>
  </si>
  <si>
    <t>Integer 1-99</t>
  </si>
  <si>
    <t>a2</t>
  </si>
  <si>
    <t>Berapa persentase kehadiran Aparat Desa/kelurahan (predefined) dalam kegiatan pembinaan peningkatan literasi penyelenggaraan kegiatan statistik?</t>
  </si>
  <si>
    <t>&gt;75%</t>
  </si>
  <si>
    <t>31a2</t>
  </si>
  <si>
    <t>IF 31a2 = 1-4, muncul field isian link bukti dukung</t>
  </si>
  <si>
    <t>51-75 %</t>
  </si>
  <si>
    <t>26-50%</t>
  </si>
  <si>
    <t>&lt;=25%</t>
  </si>
  <si>
    <t>IF 31b = 0,  tidak muncul field isian link bukti dukung
IF 31b = 1,  muncul field isian link bukti dukung</t>
  </si>
  <si>
    <t>Sosialisasi DTSEN dan Sensus Ekonomi</t>
  </si>
  <si>
    <t>Penegasan: Poin ini diwajibkan untuk diisi oleh semua desa/kelurahan</t>
  </si>
  <si>
    <t>Apakah Desa/kelurahan (predefined) telah menerima materi terkait DTSEN dan Sensus Ekonomi dari BPS Kabupaten/Kota?</t>
  </si>
  <si>
    <t>Bukti dukung berupa undangan, daftar hadir, notulensi dan dokumentasi kegiatan sosialisasi DTSEN dan Sensus Ekonomi yang dilaksanakan oleh BPS Kabupaten/Kota di desa/kelurahan</t>
  </si>
  <si>
    <t>Apakah Agen Statistik telah memahami terkait kegiatan pemutakhiran variabel sosial ekonomi pada Sensus Ekonomi?</t>
  </si>
  <si>
    <t>C</t>
  </si>
  <si>
    <t>Apakah Desa/kelurahan (predefined) telah memberikan dukungan sosialisasi kegiatan Sensus Ekonomi di wilayah desa/kelurahannya?</t>
  </si>
  <si>
    <t>Bukti dukung dapat berupa foto dukungan SE di website desa/kelurahan, media sosial desa/kelurahan, atau foto/dokumenasi agen mendukung kegiatan SE bersama dengan Petugas SE</t>
  </si>
  <si>
    <t>BLOK V. LAPORAN AKHIR DESA CANTIK</t>
  </si>
  <si>
    <t>Laporan Akhir Desa Cantik Desa/Kelurahan (predefined)</t>
  </si>
  <si>
    <t>Deskripsi singkat kegiatan</t>
  </si>
  <si>
    <t>Tuliskan ...</t>
  </si>
  <si>
    <r>
      <t xml:space="preserve">Template Laporan Akhir Desa Cantik 2026 dapat diakses pada link berikut </t>
    </r>
    <r>
      <rPr>
        <u/>
        <sz val="11"/>
        <color rgb="FF1155CC"/>
        <rFont val="Calibri"/>
      </rPr>
      <t>http://s.bps.go.id/Template_LaporanDescan_Kako2026</t>
    </r>
    <r>
      <rPr>
        <sz val="11"/>
        <color theme="1"/>
        <rFont val="Calibri"/>
        <scheme val="minor"/>
      </rPr>
      <t xml:space="preserve"> 
Laporan Akhir Desa Cantik dibuat untuk masing-masing Desa Kelurahan</t>
    </r>
  </si>
  <si>
    <t xml:space="preserve">Template Laporan Akhir Desa Cantik 2026 ...
Digabung seluruh desa dalam 1 kab/kota atau dipidah per desa, 
</t>
  </si>
  <si>
    <t>Kendala</t>
  </si>
  <si>
    <t>c</t>
  </si>
  <si>
    <t>Solusi</t>
  </si>
  <si>
    <t>d</t>
  </si>
  <si>
    <t>Upload Link Bukti dukung laporan akhir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</si>
</sst>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
  </numFmts>
  <fonts count="29">
    <font>
      <sz val="11"/>
      <color theme="1"/>
      <name val="Calibri"/>
      <scheme val="minor"/>
    </font>
    <font>
      <b/>
      <sz val="14"/>
      <color theme="1"/>
      <name val="Calibri"/>
    </font>
    <font>
      <sz val="11"/>
      <color theme="1"/>
      <name val="Calibri"/>
      <scheme val="minor"/>
    </font>
    <font>
      <b/>
      <sz val="11"/>
      <color theme="1"/>
      <name val="Calibri"/>
      <scheme val="minor"/>
    </font>
    <font>
      <b/>
      <sz val="11"/>
      <color theme="1"/>
      <name val="Calibri"/>
    </font>
    <font>
      <sz val="11"/>
      <name val="Calibri"/>
    </font>
    <font>
      <b/>
      <sz val="11"/>
      <color theme="0"/>
      <name val="Calibri"/>
    </font>
    <font>
      <b/>
      <sz val="11"/>
      <color rgb="FFFFFFFF"/>
      <name val="Calibri"/>
    </font>
    <font>
      <sz val="11"/>
      <color theme="1"/>
      <name val="Calibri"/>
    </font>
    <font>
      <sz val="11"/>
      <color theme="1"/>
      <name val="Calibri"/>
    </font>
    <font>
      <sz val="11"/>
      <color rgb="FFFF0000"/>
      <name val="Calibri"/>
    </font>
    <font>
      <b/>
      <sz val="11"/>
      <color rgb="FF000000"/>
      <name val="Calibri"/>
    </font>
    <font>
      <b/>
      <sz val="11"/>
      <color theme="1"/>
      <name val="Calibri"/>
    </font>
    <font>
      <u/>
      <sz val="11"/>
      <color theme="1"/>
      <name val="Calibri"/>
    </font>
    <font>
      <sz val="11"/>
      <color rgb="FF0000FF"/>
      <name val="Calibri"/>
    </font>
    <font>
      <sz val="11"/>
      <color rgb="FF000000"/>
      <name val="Calibri"/>
    </font>
    <font>
      <u/>
      <sz val="11"/>
      <color theme="1"/>
      <name val="Calibri"/>
    </font>
    <font>
      <b/>
      <sz val="11"/>
      <color rgb="FFFF0000"/>
      <name val="Calibri"/>
    </font>
    <font>
      <b/>
      <sz val="11"/>
      <color rgb="FF0000FF"/>
      <name val="Calibri"/>
    </font>
    <font>
      <u/>
      <sz val="11"/>
      <color rgb="FF0000FF"/>
      <name val="Calibri"/>
    </font>
    <font>
      <sz val="11"/>
      <color rgb="FFFF0000"/>
      <name val="Calibri"/>
      <scheme val="minor"/>
    </font>
    <font>
      <i/>
      <sz val="11"/>
      <color theme="1"/>
      <name val="Calibri"/>
    </font>
    <font>
      <i/>
      <sz val="11"/>
      <color rgb="FF783F04"/>
      <name val="Calibri"/>
    </font>
    <font>
      <i/>
      <sz val="11"/>
      <color rgb="FF7F6000"/>
      <name val="Calibri"/>
    </font>
    <font>
      <u/>
      <sz val="11"/>
      <color rgb="FF1155CC"/>
      <name val="Calibri"/>
    </font>
    <font>
      <i/>
      <sz val="11"/>
      <color rgb="FF0000FF"/>
      <name val="Calibri"/>
    </font>
    <font>
      <u/>
      <sz val="11"/>
      <color rgb="FF000000"/>
      <name val="Calibri"/>
    </font>
    <font>
      <i/>
      <u/>
      <sz val="11"/>
      <color rgb="FF000000"/>
      <name val="Calibri"/>
    </font>
    <font>
      <i/>
      <u/>
      <sz val="11"/>
      <color rgb="FF1155CC"/>
      <name val="Calibri"/>
    </font>
  </fonts>
  <fills count="11">
    <fill>
      <patternFill patternType="none"/>
    </fill>
    <fill>
      <patternFill patternType="gray125"/>
    </fill>
    <fill>
      <patternFill patternType="solid">
        <fgColor rgb="FF000000"/>
        <bgColor rgb="FF000000"/>
      </patternFill>
    </fill>
    <fill>
      <patternFill patternType="solid">
        <fgColor rgb="FFB7B7B7"/>
        <bgColor rgb="FFB7B7B7"/>
      </patternFill>
    </fill>
    <fill>
      <patternFill patternType="solid">
        <fgColor rgb="FFB45F06"/>
        <bgColor rgb="FFB45F06"/>
      </patternFill>
    </fill>
    <fill>
      <patternFill patternType="solid">
        <fgColor rgb="FFF1C232"/>
        <bgColor rgb="FFF1C232"/>
      </patternFill>
    </fill>
    <fill>
      <patternFill patternType="solid">
        <fgColor rgb="FFC5E0B3"/>
        <bgColor rgb="FFC5E0B3"/>
      </patternFill>
    </fill>
    <fill>
      <patternFill patternType="solid">
        <fgColor rgb="FFFFE599"/>
        <bgColor rgb="FFFFE599"/>
      </patternFill>
    </fill>
    <fill>
      <patternFill patternType="solid">
        <fgColor theme="0"/>
        <bgColor theme="0"/>
      </patternFill>
    </fill>
    <fill>
      <patternFill patternType="solid">
        <fgColor rgb="FFFF0000"/>
        <bgColor rgb="FFFF0000"/>
      </patternFill>
    </fill>
    <fill>
      <patternFill patternType="solid">
        <fgColor rgb="FFB6D7A8"/>
        <bgColor rgb="FFB6D7A8"/>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diagonal/>
    </border>
    <border>
      <left/>
      <right/>
      <top/>
      <bottom/>
      <diagonal/>
    </border>
    <border>
      <left/>
      <right style="thin">
        <color rgb="FF000000"/>
      </right>
      <top style="thin">
        <color rgb="FF000000"/>
      </top>
      <bottom/>
      <diagonal/>
    </border>
    <border>
      <left/>
      <right style="thin">
        <color rgb="FF000000"/>
      </right>
      <top/>
      <bottom/>
      <diagonal/>
    </border>
  </borders>
  <cellStyleXfs count="1">
    <xf numFmtId="0" fontId="0" fillId="0" borderId="0"/>
  </cellStyleXfs>
  <cellXfs count="192">
    <xf numFmtId="0" fontId="0" fillId="0" borderId="0" xfId="0"/>
    <xf numFmtId="0" fontId="2" fillId="2" borderId="0" xfId="0" applyFont="1" applyFill="1"/>
    <xf numFmtId="0" fontId="3" fillId="0" borderId="0" xfId="0" applyFont="1"/>
    <xf numFmtId="0" fontId="2" fillId="0" borderId="0" xfId="0" applyFont="1" applyAlignment="1">
      <alignment wrapText="1"/>
    </xf>
    <xf numFmtId="0" fontId="2" fillId="0" borderId="0" xfId="0" applyFont="1" applyAlignment="1">
      <alignment horizontal="center" vertical="center"/>
    </xf>
    <xf numFmtId="0" fontId="4" fillId="3" borderId="0" xfId="0" applyFont="1" applyFill="1" applyAlignment="1">
      <alignment horizontal="left" vertical="center"/>
    </xf>
    <xf numFmtId="0" fontId="2" fillId="3" borderId="0" xfId="0" applyFont="1" applyFill="1" applyAlignment="1">
      <alignment vertical="center"/>
    </xf>
    <xf numFmtId="0" fontId="2" fillId="3" borderId="0" xfId="0" applyFont="1" applyFill="1" applyAlignment="1">
      <alignment vertical="center" wrapText="1"/>
    </xf>
    <xf numFmtId="0" fontId="2" fillId="3" borderId="0" xfId="0" applyFont="1" applyFill="1" applyAlignment="1">
      <alignment horizontal="center" vertical="center"/>
    </xf>
    <xf numFmtId="0" fontId="2" fillId="0" borderId="1" xfId="0" applyFont="1" applyBorder="1"/>
    <xf numFmtId="0" fontId="2" fillId="0" borderId="1" xfId="0" applyFont="1" applyBorder="1" applyAlignment="1">
      <alignment wrapText="1"/>
    </xf>
    <xf numFmtId="0" fontId="2" fillId="3" borderId="0" xfId="0" applyFont="1" applyFill="1" applyAlignment="1">
      <alignment horizontal="left" vertical="center" wrapText="1"/>
    </xf>
    <xf numFmtId="0" fontId="3" fillId="0" borderId="1" xfId="0" applyFont="1" applyBorder="1" applyAlignment="1">
      <alignment horizontal="left" vertical="top"/>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2" fillId="0" borderId="1" xfId="0" applyFont="1" applyBorder="1" applyAlignment="1">
      <alignment horizontal="center" vertical="center"/>
    </xf>
    <xf numFmtId="0" fontId="2" fillId="3" borderId="0" xfId="0" applyFont="1" applyFill="1"/>
    <xf numFmtId="0" fontId="2" fillId="3" borderId="0" xfId="0" applyFont="1" applyFill="1" applyAlignment="1">
      <alignment wrapText="1"/>
    </xf>
    <xf numFmtId="0" fontId="6" fillId="4" borderId="1" xfId="0" applyFont="1" applyFill="1" applyBorder="1" applyAlignment="1">
      <alignment horizontal="center" vertical="top"/>
    </xf>
    <xf numFmtId="0" fontId="7" fillId="4" borderId="1" xfId="0" applyFont="1" applyFill="1" applyBorder="1" applyAlignment="1">
      <alignment horizontal="center" vertical="center"/>
    </xf>
    <xf numFmtId="0" fontId="7" fillId="4" borderId="1" xfId="0" applyFont="1" applyFill="1" applyBorder="1" applyAlignment="1">
      <alignment horizontal="center" vertical="center" wrapText="1"/>
    </xf>
    <xf numFmtId="164" fontId="7" fillId="4"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0" fontId="4" fillId="0" borderId="0" xfId="0" applyFont="1" applyAlignment="1">
      <alignment horizontal="center" vertical="center"/>
    </xf>
    <xf numFmtId="0" fontId="4" fillId="5" borderId="1" xfId="0" applyFont="1" applyFill="1" applyBorder="1" applyAlignment="1">
      <alignment horizontal="left" vertical="top"/>
    </xf>
    <xf numFmtId="0" fontId="4" fillId="5" borderId="1" xfId="0" applyFont="1" applyFill="1" applyBorder="1" applyAlignment="1">
      <alignment horizontal="center" vertical="top"/>
    </xf>
    <xf numFmtId="0" fontId="4" fillId="5" borderId="1" xfId="0" applyFont="1" applyFill="1" applyBorder="1" applyAlignment="1">
      <alignment vertical="top"/>
    </xf>
    <xf numFmtId="0" fontId="4" fillId="5" borderId="1" xfId="0" applyFont="1" applyFill="1" applyBorder="1" applyAlignment="1">
      <alignment vertical="top" wrapText="1"/>
    </xf>
    <xf numFmtId="0" fontId="4" fillId="5" borderId="1" xfId="0" applyFont="1" applyFill="1" applyBorder="1" applyAlignment="1">
      <alignment horizontal="center" vertical="center"/>
    </xf>
    <xf numFmtId="0" fontId="4" fillId="5" borderId="1" xfId="0" applyFont="1" applyFill="1" applyBorder="1" applyAlignment="1">
      <alignment horizontal="center" vertical="center" wrapText="1"/>
    </xf>
    <xf numFmtId="2" fontId="4" fillId="5" borderId="1" xfId="0" applyNumberFormat="1" applyFont="1" applyFill="1" applyBorder="1" applyAlignment="1">
      <alignment horizontal="center" vertical="center" wrapText="1"/>
    </xf>
    <xf numFmtId="0" fontId="4" fillId="5"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4" fillId="0" borderId="0" xfId="0" applyFont="1"/>
    <xf numFmtId="0" fontId="4" fillId="6" borderId="1" xfId="0" applyFont="1" applyFill="1" applyBorder="1" applyAlignment="1">
      <alignment horizontal="center" vertical="top"/>
    </xf>
    <xf numFmtId="0" fontId="4" fillId="6" borderId="1" xfId="0" applyFont="1" applyFill="1" applyBorder="1" applyAlignment="1">
      <alignment horizontal="left" vertical="top"/>
    </xf>
    <xf numFmtId="0" fontId="4" fillId="6" borderId="1" xfId="0" applyFont="1" applyFill="1" applyBorder="1" applyAlignment="1">
      <alignment vertical="top"/>
    </xf>
    <xf numFmtId="0" fontId="4" fillId="6" borderId="1" xfId="0" applyFont="1" applyFill="1" applyBorder="1" applyAlignment="1">
      <alignment horizontal="center" vertical="top" wrapText="1"/>
    </xf>
    <xf numFmtId="0" fontId="4" fillId="6" borderId="1" xfId="0" applyFont="1" applyFill="1" applyBorder="1" applyAlignment="1">
      <alignment horizontal="center" vertical="center"/>
    </xf>
    <xf numFmtId="0" fontId="4" fillId="6" borderId="1" xfId="0" applyFont="1" applyFill="1" applyBorder="1" applyAlignment="1">
      <alignment horizontal="center" vertical="center" wrapText="1"/>
    </xf>
    <xf numFmtId="2" fontId="4" fillId="6" borderId="1" xfId="0" applyNumberFormat="1" applyFont="1" applyFill="1" applyBorder="1" applyAlignment="1">
      <alignment horizontal="center" vertical="center" wrapText="1"/>
    </xf>
    <xf numFmtId="0" fontId="4" fillId="6" borderId="1" xfId="0" applyFont="1" applyFill="1" applyBorder="1" applyAlignment="1">
      <alignment horizontal="left" vertical="top" wrapText="1"/>
    </xf>
    <xf numFmtId="0" fontId="8" fillId="6" borderId="1" xfId="0" applyFont="1" applyFill="1" applyBorder="1" applyAlignment="1">
      <alignment vertical="top" wrapText="1"/>
    </xf>
    <xf numFmtId="0" fontId="8" fillId="6" borderId="1" xfId="0" applyFont="1" applyFill="1" applyBorder="1" applyAlignment="1">
      <alignment horizontal="center" vertical="center"/>
    </xf>
    <xf numFmtId="0" fontId="8" fillId="2" borderId="5" xfId="0" applyFont="1" applyFill="1" applyBorder="1" applyAlignment="1">
      <alignment horizontal="left" vertical="top" wrapText="1"/>
    </xf>
    <xf numFmtId="0" fontId="10" fillId="6" borderId="1" xfId="0" applyFont="1" applyFill="1" applyBorder="1" applyAlignment="1">
      <alignment vertical="top" wrapText="1"/>
    </xf>
    <xf numFmtId="0" fontId="10" fillId="6" borderId="1" xfId="0" applyFont="1" applyFill="1" applyBorder="1" applyAlignment="1">
      <alignment horizontal="center" vertical="center"/>
    </xf>
    <xf numFmtId="0" fontId="4" fillId="7" borderId="1" xfId="0" applyFont="1" applyFill="1" applyBorder="1" applyAlignment="1">
      <alignment horizontal="center" vertical="top"/>
    </xf>
    <xf numFmtId="0" fontId="4" fillId="7" borderId="1" xfId="0" applyFont="1" applyFill="1" applyBorder="1" applyAlignment="1">
      <alignment horizontal="left" vertical="top"/>
    </xf>
    <xf numFmtId="0" fontId="4" fillId="7" borderId="1" xfId="0" applyFont="1" applyFill="1" applyBorder="1" applyAlignment="1">
      <alignment vertical="top"/>
    </xf>
    <xf numFmtId="0" fontId="4" fillId="7" borderId="1" xfId="0" applyFont="1" applyFill="1" applyBorder="1" applyAlignment="1">
      <alignment horizontal="center" vertical="top" wrapText="1"/>
    </xf>
    <xf numFmtId="0" fontId="4" fillId="7" borderId="1" xfId="0" applyFont="1" applyFill="1" applyBorder="1" applyAlignment="1">
      <alignment horizontal="center" vertical="center"/>
    </xf>
    <xf numFmtId="0" fontId="4" fillId="7" borderId="1" xfId="0" applyFont="1" applyFill="1" applyBorder="1" applyAlignment="1">
      <alignment horizontal="center" vertical="center" wrapText="1"/>
    </xf>
    <xf numFmtId="2" fontId="4" fillId="7" borderId="1" xfId="0" applyNumberFormat="1" applyFont="1" applyFill="1" applyBorder="1" applyAlignment="1">
      <alignment horizontal="center" vertical="center" wrapText="1"/>
    </xf>
    <xf numFmtId="0" fontId="4" fillId="7" borderId="1" xfId="0" applyFont="1" applyFill="1" applyBorder="1" applyAlignment="1">
      <alignment horizontal="left" vertical="top" wrapText="1"/>
    </xf>
    <xf numFmtId="0" fontId="8" fillId="0" borderId="1" xfId="0" applyFont="1" applyBorder="1" applyAlignment="1">
      <alignment vertical="top" wrapText="1"/>
    </xf>
    <xf numFmtId="0" fontId="8" fillId="0" borderId="1" xfId="0" applyFont="1" applyBorder="1" applyAlignment="1">
      <alignment horizontal="center" vertical="center"/>
    </xf>
    <xf numFmtId="0" fontId="4" fillId="0" borderId="5" xfId="0" applyFont="1" applyBorder="1" applyAlignment="1">
      <alignment horizontal="center" vertical="center" wrapText="1"/>
    </xf>
    <xf numFmtId="0" fontId="8" fillId="0" borderId="5" xfId="0" applyFont="1" applyBorder="1" applyAlignment="1">
      <alignment horizontal="center" vertical="center" wrapText="1"/>
    </xf>
    <xf numFmtId="2" fontId="8" fillId="0" borderId="5" xfId="0" applyNumberFormat="1" applyFont="1" applyBorder="1" applyAlignment="1">
      <alignment horizontal="center" vertical="center" wrapText="1"/>
    </xf>
    <xf numFmtId="0" fontId="10" fillId="0" borderId="1" xfId="0" applyFont="1" applyBorder="1" applyAlignment="1">
      <alignment vertical="top" wrapText="1"/>
    </xf>
    <xf numFmtId="0" fontId="10" fillId="0" borderId="1" xfId="0" applyFont="1" applyBorder="1" applyAlignment="1">
      <alignment horizontal="center" vertical="center"/>
    </xf>
    <xf numFmtId="0" fontId="8" fillId="0" borderId="5" xfId="0" applyFont="1" applyBorder="1" applyAlignment="1">
      <alignment vertical="top" wrapText="1"/>
    </xf>
    <xf numFmtId="0" fontId="11" fillId="2" borderId="8" xfId="0" applyFont="1" applyFill="1" applyBorder="1" applyAlignment="1">
      <alignment horizontal="left" vertical="top" wrapText="1"/>
    </xf>
    <xf numFmtId="0" fontId="4" fillId="7" borderId="1" xfId="0" applyFont="1" applyFill="1" applyBorder="1" applyAlignment="1">
      <alignment vertical="top" wrapText="1"/>
    </xf>
    <xf numFmtId="0" fontId="8" fillId="0" borderId="1" xfId="0" applyFont="1" applyBorder="1" applyAlignment="1">
      <alignment horizontal="center" vertical="center" wrapText="1"/>
    </xf>
    <xf numFmtId="0" fontId="8" fillId="2" borderId="6" xfId="0" applyFont="1" applyFill="1" applyBorder="1" applyAlignment="1">
      <alignment horizontal="left" vertical="top" wrapText="1"/>
    </xf>
    <xf numFmtId="0" fontId="8" fillId="0" borderId="4" xfId="0" applyFont="1" applyBorder="1" applyAlignment="1">
      <alignment vertical="top" wrapText="1"/>
    </xf>
    <xf numFmtId="0" fontId="9" fillId="0" borderId="0" xfId="0" applyFont="1"/>
    <xf numFmtId="0" fontId="8" fillId="0" borderId="9" xfId="0" applyFont="1" applyBorder="1" applyAlignment="1">
      <alignment vertical="top" wrapText="1"/>
    </xf>
    <xf numFmtId="0" fontId="4" fillId="0" borderId="1" xfId="0" applyFont="1" applyBorder="1" applyAlignment="1">
      <alignment horizontal="left" vertical="top"/>
    </xf>
    <xf numFmtId="0" fontId="14" fillId="0" borderId="1" xfId="0" applyFont="1" applyBorder="1" applyAlignment="1">
      <alignment horizontal="left" vertical="top"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2" fontId="4" fillId="0" borderId="1" xfId="0" applyNumberFormat="1" applyFont="1" applyBorder="1" applyAlignment="1">
      <alignment horizontal="center" vertical="center" wrapText="1"/>
    </xf>
    <xf numFmtId="0" fontId="15" fillId="0" borderId="7" xfId="0" applyFont="1" applyBorder="1" applyAlignment="1">
      <alignment horizontal="left" vertical="top" wrapText="1"/>
    </xf>
    <xf numFmtId="0" fontId="4" fillId="0" borderId="1" xfId="0" applyFont="1" applyBorder="1" applyAlignment="1">
      <alignment horizontal="left" vertical="top" wrapText="1"/>
    </xf>
    <xf numFmtId="0" fontId="11" fillId="0" borderId="7" xfId="0" applyFont="1" applyBorder="1" applyAlignment="1">
      <alignment horizontal="left" vertical="top" wrapText="1"/>
    </xf>
    <xf numFmtId="0" fontId="9" fillId="6" borderId="0" xfId="0" applyFont="1" applyFill="1"/>
    <xf numFmtId="0" fontId="4" fillId="0" borderId="1" xfId="0" applyFont="1" applyBorder="1" applyAlignment="1">
      <alignment horizontal="center" vertical="top"/>
    </xf>
    <xf numFmtId="0" fontId="8" fillId="0" borderId="6" xfId="0" applyFont="1" applyBorder="1" applyAlignment="1">
      <alignment horizontal="left" vertical="top" wrapText="1"/>
    </xf>
    <xf numFmtId="0" fontId="8" fillId="2" borderId="1" xfId="0" applyFont="1" applyFill="1" applyBorder="1" applyAlignment="1">
      <alignment horizontal="left" vertical="top" wrapText="1"/>
    </xf>
    <xf numFmtId="0" fontId="11" fillId="2" borderId="1" xfId="0" applyFont="1" applyFill="1" applyBorder="1" applyAlignment="1">
      <alignment horizontal="left" vertical="top" wrapText="1"/>
    </xf>
    <xf numFmtId="0" fontId="11" fillId="2" borderId="7" xfId="0" applyFont="1" applyFill="1" applyBorder="1" applyAlignment="1">
      <alignment horizontal="left" vertical="top" wrapText="1"/>
    </xf>
    <xf numFmtId="0" fontId="15" fillId="2" borderId="7" xfId="0" applyFont="1" applyFill="1" applyBorder="1" applyAlignment="1">
      <alignment horizontal="left" vertical="top" wrapText="1"/>
    </xf>
    <xf numFmtId="0" fontId="8" fillId="0" borderId="1" xfId="0" applyFont="1" applyBorder="1" applyAlignment="1">
      <alignment wrapText="1"/>
    </xf>
    <xf numFmtId="0" fontId="8" fillId="6" borderId="1" xfId="0" applyFont="1" applyFill="1" applyBorder="1" applyAlignment="1">
      <alignment horizontal="center" vertical="center" wrapText="1"/>
    </xf>
    <xf numFmtId="2" fontId="8" fillId="6" borderId="1" xfId="0" applyNumberFormat="1" applyFont="1" applyFill="1" applyBorder="1" applyAlignment="1">
      <alignment horizontal="center" vertical="center" wrapText="1"/>
    </xf>
    <xf numFmtId="0" fontId="8" fillId="6" borderId="1" xfId="0" applyFont="1" applyFill="1" applyBorder="1" applyAlignment="1">
      <alignment horizontal="left" vertical="top" wrapText="1"/>
    </xf>
    <xf numFmtId="0" fontId="4" fillId="7" borderId="5" xfId="0" applyFont="1" applyFill="1" applyBorder="1" applyAlignment="1">
      <alignment horizontal="left" vertical="top"/>
    </xf>
    <xf numFmtId="0" fontId="4" fillId="7" borderId="0" xfId="0" applyFont="1" applyFill="1"/>
    <xf numFmtId="0" fontId="4" fillId="7" borderId="6" xfId="0" applyFont="1" applyFill="1" applyBorder="1" applyAlignment="1">
      <alignment horizontal="left" vertical="top"/>
    </xf>
    <xf numFmtId="0" fontId="18" fillId="2" borderId="7" xfId="0" applyFont="1" applyFill="1" applyBorder="1" applyAlignment="1">
      <alignment horizontal="left" vertical="top" wrapText="1"/>
    </xf>
    <xf numFmtId="0" fontId="11" fillId="2" borderId="10" xfId="0" applyFont="1" applyFill="1" applyBorder="1" applyAlignment="1">
      <alignment horizontal="left" vertical="top" wrapText="1"/>
    </xf>
    <xf numFmtId="0" fontId="8" fillId="0" borderId="7" xfId="0" applyFont="1" applyBorder="1" applyAlignment="1">
      <alignment vertical="top" wrapText="1"/>
    </xf>
    <xf numFmtId="0" fontId="8" fillId="7" borderId="1" xfId="0" applyFont="1" applyFill="1" applyBorder="1" applyAlignment="1">
      <alignment horizontal="center" vertical="center"/>
    </xf>
    <xf numFmtId="0" fontId="8" fillId="7" borderId="1" xfId="0" applyFont="1" applyFill="1" applyBorder="1" applyAlignment="1">
      <alignment vertical="top" wrapText="1"/>
    </xf>
    <xf numFmtId="0" fontId="8" fillId="7" borderId="1" xfId="0" applyFont="1" applyFill="1" applyBorder="1" applyAlignment="1">
      <alignment horizontal="center" vertical="center" wrapText="1"/>
    </xf>
    <xf numFmtId="2" fontId="8" fillId="7" borderId="1" xfId="0" applyNumberFormat="1" applyFont="1" applyFill="1" applyBorder="1" applyAlignment="1">
      <alignment horizontal="center" vertical="center" wrapText="1"/>
    </xf>
    <xf numFmtId="0" fontId="8" fillId="7" borderId="1" xfId="0" applyFont="1" applyFill="1" applyBorder="1" applyAlignment="1">
      <alignment horizontal="left" vertical="top" wrapText="1"/>
    </xf>
    <xf numFmtId="0" fontId="4" fillId="0" borderId="1" xfId="0" applyFont="1" applyBorder="1" applyAlignment="1">
      <alignment vertical="top" wrapText="1"/>
    </xf>
    <xf numFmtId="2" fontId="8" fillId="0" borderId="1" xfId="0" applyNumberFormat="1" applyFont="1" applyBorder="1" applyAlignment="1">
      <alignment horizontal="center" vertical="center" wrapText="1"/>
    </xf>
    <xf numFmtId="0" fontId="8" fillId="2" borderId="1" xfId="0" applyFont="1" applyFill="1" applyBorder="1" applyAlignment="1">
      <alignment wrapText="1"/>
    </xf>
    <xf numFmtId="0" fontId="8" fillId="2" borderId="1" xfId="0" applyFont="1" applyFill="1" applyBorder="1" applyAlignment="1">
      <alignment vertical="top" wrapText="1"/>
    </xf>
    <xf numFmtId="0" fontId="4" fillId="0" borderId="0" xfId="0" applyFont="1" applyAlignment="1">
      <alignment horizontal="left" vertical="top"/>
    </xf>
    <xf numFmtId="0" fontId="7" fillId="4" borderId="1" xfId="0" applyFont="1" applyFill="1" applyBorder="1" applyAlignment="1">
      <alignment horizontal="center" vertical="top"/>
    </xf>
    <xf numFmtId="0" fontId="7" fillId="0" borderId="0" xfId="0" applyFont="1" applyAlignment="1">
      <alignment horizontal="center" vertical="center"/>
    </xf>
    <xf numFmtId="0" fontId="4" fillId="7" borderId="1" xfId="0" applyFont="1" applyFill="1" applyBorder="1"/>
    <xf numFmtId="0" fontId="8" fillId="0" borderId="6" xfId="0" applyFont="1" applyBorder="1" applyAlignment="1">
      <alignment horizontal="center" vertical="center" wrapText="1"/>
    </xf>
    <xf numFmtId="2" fontId="8" fillId="0" borderId="6" xfId="0" applyNumberFormat="1" applyFont="1" applyBorder="1" applyAlignment="1">
      <alignment horizontal="center" vertical="center" wrapText="1"/>
    </xf>
    <xf numFmtId="0" fontId="4" fillId="6" borderId="1" xfId="0" applyFont="1" applyFill="1" applyBorder="1"/>
    <xf numFmtId="0" fontId="4" fillId="8" borderId="11" xfId="0" applyFont="1" applyFill="1" applyBorder="1"/>
    <xf numFmtId="0" fontId="4" fillId="0" borderId="1" xfId="0" applyFont="1" applyBorder="1"/>
    <xf numFmtId="0" fontId="8" fillId="8" borderId="1" xfId="0" applyFont="1" applyFill="1" applyBorder="1" applyAlignment="1">
      <alignment vertical="top" wrapText="1"/>
    </xf>
    <xf numFmtId="0" fontId="8" fillId="8" borderId="1" xfId="0" applyFont="1" applyFill="1" applyBorder="1" applyAlignment="1">
      <alignment horizontal="center" vertical="center" wrapText="1"/>
    </xf>
    <xf numFmtId="0" fontId="4" fillId="8" borderId="12" xfId="0" applyFont="1" applyFill="1" applyBorder="1"/>
    <xf numFmtId="0" fontId="8" fillId="0" borderId="4" xfId="0" applyFont="1" applyBorder="1" applyAlignment="1">
      <alignment horizontal="center" vertical="top"/>
    </xf>
    <xf numFmtId="2" fontId="7" fillId="9" borderId="1" xfId="0" applyNumberFormat="1" applyFont="1" applyFill="1" applyBorder="1" applyAlignment="1">
      <alignment horizontal="center" vertical="center" wrapText="1"/>
    </xf>
    <xf numFmtId="0" fontId="4" fillId="0" borderId="0" xfId="0" applyFont="1" applyAlignment="1">
      <alignment horizontal="left" vertical="top" wrapText="1"/>
    </xf>
    <xf numFmtId="0" fontId="6" fillId="0" borderId="0" xfId="0" applyFont="1" applyAlignment="1">
      <alignment horizontal="center" vertical="center"/>
    </xf>
    <xf numFmtId="0" fontId="14" fillId="10" borderId="1" xfId="0" applyFont="1" applyFill="1" applyBorder="1" applyAlignment="1">
      <alignment vertical="top" wrapText="1"/>
    </xf>
    <xf numFmtId="0" fontId="14" fillId="10" borderId="1" xfId="0" applyFont="1" applyFill="1" applyBorder="1" applyAlignment="1">
      <alignment horizontal="center" vertical="center" wrapText="1"/>
    </xf>
    <xf numFmtId="0" fontId="18" fillId="10" borderId="1" xfId="0" applyFont="1" applyFill="1" applyBorder="1" applyAlignment="1">
      <alignment horizontal="center" vertical="center" wrapText="1"/>
    </xf>
    <xf numFmtId="2" fontId="18" fillId="10" borderId="1" xfId="0" applyNumberFormat="1" applyFont="1" applyFill="1" applyBorder="1" applyAlignment="1">
      <alignment horizontal="center" vertical="center" wrapText="1"/>
    </xf>
    <xf numFmtId="0" fontId="3" fillId="6" borderId="1" xfId="0" applyFont="1" applyFill="1" applyBorder="1" applyAlignment="1">
      <alignment horizontal="left" vertical="top"/>
    </xf>
    <xf numFmtId="0" fontId="3" fillId="6" borderId="1" xfId="0" applyFont="1" applyFill="1" applyBorder="1" applyAlignment="1">
      <alignment horizontal="left"/>
    </xf>
    <xf numFmtId="0" fontId="2" fillId="6" borderId="1" xfId="0" applyFont="1" applyFill="1" applyBorder="1"/>
    <xf numFmtId="0" fontId="2" fillId="6" borderId="1" xfId="0" applyFont="1" applyFill="1" applyBorder="1" applyAlignment="1">
      <alignment horizontal="left"/>
    </xf>
    <xf numFmtId="0" fontId="8" fillId="6" borderId="5" xfId="0" applyFont="1" applyFill="1" applyBorder="1" applyAlignment="1">
      <alignment horizontal="center" vertical="center" wrapText="1"/>
    </xf>
    <xf numFmtId="0" fontId="5" fillId="0" borderId="7" xfId="0" applyFont="1" applyBorder="1"/>
    <xf numFmtId="2" fontId="8" fillId="6" borderId="5" xfId="0" applyNumberFormat="1" applyFont="1" applyFill="1" applyBorder="1" applyAlignment="1">
      <alignment horizontal="center" vertical="center" wrapText="1"/>
    </xf>
    <xf numFmtId="0" fontId="8" fillId="6" borderId="5" xfId="0" applyFont="1" applyFill="1" applyBorder="1" applyAlignment="1">
      <alignment horizontal="left" vertical="top" wrapText="1"/>
    </xf>
    <xf numFmtId="0" fontId="8" fillId="2" borderId="6" xfId="0" applyFont="1" applyFill="1" applyBorder="1" applyAlignment="1">
      <alignment horizontal="left" vertical="top" wrapText="1"/>
    </xf>
    <xf numFmtId="0" fontId="5" fillId="0" borderId="6" xfId="0" applyFont="1" applyBorder="1"/>
    <xf numFmtId="2" fontId="8" fillId="0" borderId="5" xfId="0" applyNumberFormat="1" applyFont="1" applyBorder="1" applyAlignment="1">
      <alignment horizontal="center" vertical="center" wrapText="1"/>
    </xf>
    <xf numFmtId="0" fontId="8" fillId="2" borderId="5" xfId="0" applyFont="1" applyFill="1" applyBorder="1" applyAlignment="1">
      <alignment horizontal="left" vertical="top" wrapText="1"/>
    </xf>
    <xf numFmtId="0" fontId="9" fillId="0" borderId="0" xfId="0" applyFont="1"/>
    <xf numFmtId="0" fontId="0" fillId="0" borderId="0" xfId="0"/>
    <xf numFmtId="0" fontId="12" fillId="0" borderId="0" xfId="0" applyFont="1" applyAlignment="1">
      <alignment wrapText="1"/>
    </xf>
    <xf numFmtId="0" fontId="4" fillId="0" borderId="5" xfId="0" applyFont="1" applyBorder="1" applyAlignment="1">
      <alignment horizontal="center" vertical="center" wrapText="1"/>
    </xf>
    <xf numFmtId="0" fontId="8" fillId="0" borderId="5" xfId="0" applyFont="1" applyBorder="1" applyAlignment="1">
      <alignment horizontal="left" vertical="top" wrapText="1"/>
    </xf>
    <xf numFmtId="0" fontId="17" fillId="0" borderId="0" xfId="0" applyFont="1" applyAlignment="1">
      <alignment wrapText="1"/>
    </xf>
    <xf numFmtId="0" fontId="8" fillId="0" borderId="5" xfId="0" applyFont="1" applyBorder="1" applyAlignment="1">
      <alignment horizontal="center" vertical="center" wrapText="1"/>
    </xf>
    <xf numFmtId="0" fontId="13" fillId="0" borderId="5" xfId="0" applyFont="1" applyBorder="1" applyAlignment="1">
      <alignment horizontal="left" vertical="top" wrapText="1"/>
    </xf>
    <xf numFmtId="0" fontId="9" fillId="0" borderId="0" xfId="0" applyFont="1" applyAlignment="1">
      <alignment wrapText="1"/>
    </xf>
    <xf numFmtId="0" fontId="4" fillId="0" borderId="0" xfId="0" applyFont="1"/>
    <xf numFmtId="0" fontId="11" fillId="2" borderId="6" xfId="0" applyFont="1" applyFill="1" applyBorder="1" applyAlignment="1">
      <alignment horizontal="left" vertical="top" wrapText="1"/>
    </xf>
    <xf numFmtId="0" fontId="8" fillId="0" borderId="6" xfId="0" applyFont="1" applyBorder="1" applyAlignment="1">
      <alignment horizontal="left" vertical="top" wrapText="1"/>
    </xf>
    <xf numFmtId="0" fontId="15" fillId="2" borderId="6" xfId="0" applyFont="1" applyFill="1" applyBorder="1" applyAlignment="1">
      <alignment horizontal="left" vertical="top" wrapText="1"/>
    </xf>
    <xf numFmtId="0" fontId="4" fillId="0" borderId="5" xfId="0" applyFont="1" applyBorder="1" applyAlignment="1">
      <alignment horizontal="center" vertical="top"/>
    </xf>
    <xf numFmtId="0" fontId="8" fillId="0" borderId="5" xfId="0" applyFont="1" applyBorder="1" applyAlignment="1">
      <alignment vertical="top" wrapText="1"/>
    </xf>
    <xf numFmtId="0" fontId="4" fillId="6" borderId="5" xfId="0" applyFont="1" applyFill="1" applyBorder="1" applyAlignment="1">
      <alignment horizontal="center" vertical="top"/>
    </xf>
    <xf numFmtId="0" fontId="4" fillId="10" borderId="5" xfId="0" applyFont="1" applyFill="1" applyBorder="1" applyAlignment="1">
      <alignment horizontal="center" vertical="top"/>
    </xf>
    <xf numFmtId="0" fontId="2" fillId="6" borderId="5" xfId="0" applyFont="1" applyFill="1" applyBorder="1" applyAlignment="1">
      <alignment horizontal="left" vertical="top"/>
    </xf>
    <xf numFmtId="0" fontId="8" fillId="0" borderId="5" xfId="0" applyFont="1" applyBorder="1" applyAlignment="1">
      <alignment horizontal="center" vertical="top"/>
    </xf>
    <xf numFmtId="0" fontId="15" fillId="0" borderId="5" xfId="0" applyFont="1" applyBorder="1" applyAlignment="1">
      <alignment vertical="top" wrapText="1"/>
    </xf>
    <xf numFmtId="0" fontId="8" fillId="0" borderId="13" xfId="0" applyFont="1" applyBorder="1" applyAlignment="1">
      <alignment horizontal="center" vertical="top"/>
    </xf>
    <xf numFmtId="0" fontId="5" fillId="0" borderId="14" xfId="0" applyFont="1" applyBorder="1"/>
    <xf numFmtId="0" fontId="5" fillId="0" borderId="9" xfId="0" applyFont="1" applyBorder="1"/>
    <xf numFmtId="0" fontId="18" fillId="10" borderId="5" xfId="0" applyFont="1" applyFill="1" applyBorder="1" applyAlignment="1">
      <alignment horizontal="center" vertical="top"/>
    </xf>
    <xf numFmtId="0" fontId="14" fillId="10" borderId="5" xfId="0" applyFont="1" applyFill="1" applyBorder="1" applyAlignment="1">
      <alignment horizontal="left" vertical="top" wrapText="1"/>
    </xf>
    <xf numFmtId="0" fontId="8" fillId="6" borderId="5" xfId="0" applyFont="1" applyFill="1" applyBorder="1" applyAlignment="1">
      <alignment vertical="top" wrapText="1"/>
    </xf>
    <xf numFmtId="0" fontId="9" fillId="0" borderId="5" xfId="0" applyFont="1" applyBorder="1"/>
    <xf numFmtId="0" fontId="8" fillId="0" borderId="5" xfId="0" applyFont="1" applyBorder="1" applyAlignment="1">
      <alignment horizontal="left" vertical="center" wrapText="1"/>
    </xf>
    <xf numFmtId="2" fontId="8" fillId="0" borderId="5" xfId="0" applyNumberFormat="1" applyFont="1" applyBorder="1" applyAlignment="1">
      <alignment horizontal="left" vertical="center" wrapText="1"/>
    </xf>
    <xf numFmtId="0" fontId="8" fillId="2" borderId="5" xfId="0" applyFont="1" applyFill="1" applyBorder="1" applyAlignment="1">
      <alignment vertical="top" wrapText="1"/>
    </xf>
    <xf numFmtId="0" fontId="17" fillId="0" borderId="5" xfId="0" applyFont="1" applyBorder="1" applyAlignment="1">
      <alignment horizontal="center" vertical="top"/>
    </xf>
    <xf numFmtId="2" fontId="14" fillId="10" borderId="5" xfId="0" applyNumberFormat="1" applyFont="1" applyFill="1" applyBorder="1" applyAlignment="1">
      <alignment horizontal="left" vertical="center" wrapText="1"/>
    </xf>
    <xf numFmtId="0" fontId="19" fillId="6" borderId="5" xfId="0" applyFont="1" applyFill="1" applyBorder="1" applyAlignment="1">
      <alignment vertical="top" wrapText="1"/>
    </xf>
    <xf numFmtId="0" fontId="20" fillId="0" borderId="5" xfId="0" applyFont="1" applyBorder="1"/>
    <xf numFmtId="0" fontId="18" fillId="10" borderId="5" xfId="0" applyFont="1" applyFill="1" applyBorder="1" applyAlignment="1">
      <alignment horizontal="center" vertical="center" wrapText="1"/>
    </xf>
    <xf numFmtId="0" fontId="12" fillId="0" borderId="0" xfId="0" applyFont="1"/>
    <xf numFmtId="0" fontId="2" fillId="0" borderId="5" xfId="0" applyFont="1" applyBorder="1"/>
    <xf numFmtId="0" fontId="1" fillId="0" borderId="0" xfId="0" applyFont="1" applyAlignment="1">
      <alignment horizontal="center" vertical="top"/>
    </xf>
    <xf numFmtId="0" fontId="2" fillId="0" borderId="2" xfId="0" applyFont="1" applyBorder="1"/>
    <xf numFmtId="0" fontId="5" fillId="0" borderId="3" xfId="0" applyFont="1" applyBorder="1"/>
    <xf numFmtId="0" fontId="5" fillId="0" borderId="4" xfId="0" applyFont="1" applyBorder="1"/>
    <xf numFmtId="0" fontId="3" fillId="0" borderId="5" xfId="0" applyFont="1" applyBorder="1" applyAlignment="1">
      <alignment horizontal="left" vertical="top"/>
    </xf>
    <xf numFmtId="0" fontId="4" fillId="7" borderId="2" xfId="0" applyFont="1" applyFill="1" applyBorder="1" applyAlignment="1">
      <alignment horizontal="left" vertical="top"/>
    </xf>
    <xf numFmtId="0" fontId="8" fillId="0" borderId="5" xfId="0" applyFont="1" applyBorder="1" applyAlignment="1">
      <alignment vertical="center" wrapText="1"/>
    </xf>
    <xf numFmtId="0" fontId="15" fillId="0" borderId="6" xfId="0" applyFont="1" applyBorder="1" applyAlignment="1">
      <alignment horizontal="left" vertical="top" wrapText="1"/>
    </xf>
    <xf numFmtId="0" fontId="2" fillId="0" borderId="5" xfId="0" applyFont="1" applyBorder="1" applyAlignment="1">
      <alignment horizontal="left" vertical="top"/>
    </xf>
    <xf numFmtId="0" fontId="2" fillId="0" borderId="5" xfId="0" applyFont="1" applyBorder="1" applyAlignment="1">
      <alignment horizontal="left" vertical="top" wrapText="1"/>
    </xf>
    <xf numFmtId="0" fontId="8" fillId="0" borderId="5" xfId="0" applyFont="1" applyBorder="1" applyAlignment="1">
      <alignment vertical="top"/>
    </xf>
    <xf numFmtId="0" fontId="8" fillId="0" borderId="5" xfId="0" applyFont="1" applyBorder="1" applyAlignment="1">
      <alignment horizontal="center" vertical="center"/>
    </xf>
    <xf numFmtId="0" fontId="4" fillId="0" borderId="6" xfId="0" applyFont="1" applyBorder="1" applyAlignment="1">
      <alignment horizontal="center" vertical="top"/>
    </xf>
    <xf numFmtId="0" fontId="9" fillId="0" borderId="5" xfId="0" applyFont="1" applyBorder="1" applyAlignment="1">
      <alignment vertical="center"/>
    </xf>
    <xf numFmtId="0" fontId="9" fillId="0" borderId="5" xfId="0" applyFont="1" applyBorder="1" applyAlignment="1">
      <alignment vertical="center" wrapText="1"/>
    </xf>
    <xf numFmtId="0" fontId="8" fillId="6" borderId="5" xfId="0" applyFont="1" applyFill="1" applyBorder="1" applyAlignment="1">
      <alignment horizontal="center" vertical="center"/>
    </xf>
    <xf numFmtId="0" fontId="8" fillId="6" borderId="5" xfId="0" applyFont="1" applyFill="1" applyBorder="1" applyAlignment="1">
      <alignment vertical="center" wrapText="1"/>
    </xf>
    <xf numFmtId="0" fontId="4" fillId="0" borderId="6" xfId="0" applyFont="1" applyBorder="1" applyAlignment="1">
      <alignment horizontal="left" vertical="top"/>
    </xf>
    <xf numFmtId="0" fontId="16" fillId="0" borderId="5"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2" Type="http://schemas.openxmlformats.org/officeDocument/2006/relationships/calcChain" Target="calcChain.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bps.go.id/ChecklistVariabel" TargetMode="External"/><Relationship Id="rId2" Type="http://schemas.openxmlformats.org/officeDocument/2006/relationships/hyperlink" Target="http://s.bps.go.id/List_Ragam_Data" TargetMode="External"/><Relationship Id="rId1" Type="http://schemas.openxmlformats.org/officeDocument/2006/relationships/hyperlink" Target="http://s.bps.go.id/Kuesioner-IdentifikasiDescan2026" TargetMode="External"/><Relationship Id="rId5" Type="http://schemas.openxmlformats.org/officeDocument/2006/relationships/hyperlink" Target="http://s.bps.go.id/Template_LaporanDescan_Kako2026" TargetMode="External"/><Relationship Id="rId4" Type="http://schemas.openxmlformats.org/officeDocument/2006/relationships/hyperlink" Target="http://s.bps.go.id/PerbandinganKonsistens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O1007"/>
  <sheetViews>
    <sheetView tabSelected="1" workbookViewId="0">
      <selection activeCell="D7" sqref="D7:K7"/>
    </sheetView>
  </sheetViews>
  <sheetFormatPr defaultColWidth="14.44140625" defaultRowHeight="15" customHeight="1"/>
  <cols>
    <col min="1" max="1" width="4.6640625" customWidth="1"/>
    <col min="2" max="2" width="3.33203125" customWidth="1"/>
    <col min="3" max="3" width="47.6640625" customWidth="1"/>
    <col min="4" max="4" width="38.33203125" customWidth="1"/>
    <col min="5" max="5" width="9.109375" customWidth="1"/>
    <col min="6" max="6" width="10.109375" customWidth="1"/>
    <col min="7" max="10" width="14.44140625" hidden="1"/>
    <col min="11" max="11" width="85.88671875" customWidth="1"/>
    <col min="12" max="15" width="14.44140625" hidden="1"/>
  </cols>
  <sheetData>
    <row r="1" spans="1:15" ht="18">
      <c r="A1" s="173" t="s">
        <v>0</v>
      </c>
      <c r="B1" s="137"/>
      <c r="C1" s="137"/>
      <c r="D1" s="137"/>
      <c r="E1" s="137"/>
      <c r="F1" s="137"/>
      <c r="G1" s="137"/>
      <c r="H1" s="137"/>
      <c r="I1" s="137"/>
      <c r="J1" s="137"/>
      <c r="K1" s="137"/>
      <c r="L1" s="1"/>
      <c r="M1" s="1"/>
    </row>
    <row r="2" spans="1:15" ht="14.4">
      <c r="A2" s="2"/>
      <c r="C2" s="3"/>
      <c r="E2" s="4"/>
      <c r="L2" s="1"/>
      <c r="M2" s="1"/>
    </row>
    <row r="3" spans="1:15" ht="29.25" customHeight="1">
      <c r="A3" s="5" t="s">
        <v>1</v>
      </c>
      <c r="B3" s="6"/>
      <c r="C3" s="7"/>
      <c r="D3" s="6"/>
      <c r="E3" s="8"/>
      <c r="F3" s="6"/>
      <c r="G3" s="6"/>
      <c r="H3" s="6"/>
      <c r="I3" s="6"/>
      <c r="J3" s="6"/>
      <c r="K3" s="6"/>
      <c r="L3" s="6"/>
      <c r="M3" s="6"/>
      <c r="N3" s="6"/>
      <c r="O3" s="6"/>
    </row>
    <row r="4" spans="1:15" ht="14.4">
      <c r="A4" s="2"/>
      <c r="C4" s="3"/>
      <c r="E4" s="4"/>
      <c r="L4" s="1"/>
      <c r="M4" s="1"/>
    </row>
    <row r="5" spans="1:15" ht="14.4">
      <c r="A5" s="9" t="s">
        <v>2</v>
      </c>
      <c r="B5" s="9"/>
      <c r="C5" s="10"/>
      <c r="D5" s="174"/>
      <c r="E5" s="175"/>
      <c r="F5" s="175"/>
      <c r="G5" s="175"/>
      <c r="H5" s="175"/>
      <c r="I5" s="175"/>
      <c r="J5" s="175"/>
      <c r="K5" s="176"/>
      <c r="L5" s="1"/>
      <c r="M5" s="1"/>
    </row>
    <row r="6" spans="1:15" ht="14.4">
      <c r="A6" s="9" t="s">
        <v>3</v>
      </c>
      <c r="B6" s="9"/>
      <c r="C6" s="10"/>
      <c r="D6" s="174"/>
      <c r="E6" s="175"/>
      <c r="F6" s="175"/>
      <c r="G6" s="175"/>
      <c r="H6" s="175"/>
      <c r="I6" s="175"/>
      <c r="J6" s="175"/>
      <c r="K6" s="176"/>
      <c r="L6" s="1"/>
      <c r="M6" s="1"/>
    </row>
    <row r="7" spans="1:15" ht="14.4">
      <c r="A7" s="9" t="s">
        <v>4</v>
      </c>
      <c r="B7" s="9"/>
      <c r="C7" s="10"/>
      <c r="D7" s="174"/>
      <c r="E7" s="175"/>
      <c r="F7" s="175"/>
      <c r="G7" s="175"/>
      <c r="H7" s="175"/>
      <c r="I7" s="175"/>
      <c r="J7" s="175"/>
      <c r="K7" s="176"/>
      <c r="L7" s="1"/>
      <c r="M7" s="1"/>
    </row>
    <row r="8" spans="1:15" ht="14.4">
      <c r="A8" s="9" t="s">
        <v>5</v>
      </c>
      <c r="B8" s="9"/>
      <c r="C8" s="10"/>
      <c r="D8" s="174"/>
      <c r="E8" s="175"/>
      <c r="F8" s="175"/>
      <c r="G8" s="175"/>
      <c r="H8" s="175"/>
      <c r="I8" s="175"/>
      <c r="J8" s="175"/>
      <c r="K8" s="176"/>
      <c r="L8" s="1"/>
      <c r="M8" s="1"/>
    </row>
    <row r="9" spans="1:15" ht="14.4">
      <c r="A9" s="9" t="s">
        <v>6</v>
      </c>
      <c r="B9" s="9"/>
      <c r="C9" s="10"/>
      <c r="D9" s="174"/>
      <c r="E9" s="175"/>
      <c r="F9" s="175"/>
      <c r="G9" s="175"/>
      <c r="H9" s="175"/>
      <c r="I9" s="175"/>
      <c r="J9" s="175"/>
      <c r="K9" s="176"/>
      <c r="L9" s="1"/>
      <c r="M9" s="1"/>
    </row>
    <row r="10" spans="1:15" ht="14.4">
      <c r="A10" s="2"/>
      <c r="C10" s="3"/>
      <c r="E10" s="4"/>
      <c r="L10" s="1"/>
      <c r="M10" s="1"/>
    </row>
    <row r="11" spans="1:15" ht="28.5" customHeight="1">
      <c r="A11" s="5" t="s">
        <v>7</v>
      </c>
      <c r="B11" s="6"/>
      <c r="C11" s="11"/>
      <c r="D11" s="6"/>
      <c r="E11" s="8"/>
      <c r="F11" s="6"/>
      <c r="G11" s="6"/>
      <c r="H11" s="6"/>
      <c r="I11" s="6"/>
      <c r="J11" s="6"/>
      <c r="K11" s="6"/>
      <c r="L11" s="6"/>
      <c r="M11" s="6"/>
      <c r="N11" s="6"/>
      <c r="O11" s="6"/>
    </row>
    <row r="12" spans="1:15" ht="14.4">
      <c r="A12" s="2"/>
      <c r="C12" s="3"/>
      <c r="E12" s="4"/>
      <c r="L12" s="1"/>
      <c r="M12" s="1"/>
    </row>
    <row r="13" spans="1:15" ht="43.2">
      <c r="A13" s="12">
        <v>1</v>
      </c>
      <c r="B13" s="13" t="s">
        <v>8</v>
      </c>
      <c r="C13" s="14" t="s">
        <v>9</v>
      </c>
      <c r="D13" s="14" t="s">
        <v>10</v>
      </c>
      <c r="E13" s="15" t="s">
        <v>11</v>
      </c>
      <c r="F13" s="9"/>
      <c r="G13" s="9"/>
      <c r="H13" s="9"/>
      <c r="I13" s="9"/>
      <c r="J13" s="9"/>
      <c r="K13" s="9"/>
      <c r="L13" s="1"/>
      <c r="M13" s="1"/>
    </row>
    <row r="14" spans="1:15" ht="14.4">
      <c r="A14" s="177">
        <v>2</v>
      </c>
      <c r="B14" s="181" t="s">
        <v>8</v>
      </c>
      <c r="C14" s="182" t="s">
        <v>12</v>
      </c>
      <c r="D14" s="13" t="s">
        <v>13</v>
      </c>
      <c r="E14" s="15">
        <v>1</v>
      </c>
      <c r="F14" s="172"/>
      <c r="G14" s="9"/>
      <c r="H14" s="9"/>
      <c r="I14" s="9"/>
      <c r="J14" s="9"/>
      <c r="K14" s="172"/>
      <c r="L14" s="1"/>
      <c r="M14" s="1"/>
    </row>
    <row r="15" spans="1:15" ht="28.8">
      <c r="A15" s="133"/>
      <c r="B15" s="129"/>
      <c r="C15" s="129"/>
      <c r="D15" s="14" t="s">
        <v>14</v>
      </c>
      <c r="E15" s="15">
        <v>0</v>
      </c>
      <c r="F15" s="129"/>
      <c r="G15" s="9"/>
      <c r="H15" s="9"/>
      <c r="I15" s="9"/>
      <c r="J15" s="9"/>
      <c r="K15" s="129"/>
      <c r="L15" s="1"/>
      <c r="M15" s="1"/>
    </row>
    <row r="16" spans="1:15" ht="57.6">
      <c r="A16" s="129"/>
      <c r="B16" s="13" t="s">
        <v>15</v>
      </c>
      <c r="C16" s="14" t="s">
        <v>16</v>
      </c>
      <c r="D16" s="14" t="s">
        <v>17</v>
      </c>
      <c r="E16" s="15" t="s">
        <v>11</v>
      </c>
      <c r="F16" s="9"/>
      <c r="G16" s="9"/>
      <c r="H16" s="9"/>
      <c r="I16" s="9"/>
      <c r="J16" s="9"/>
      <c r="K16" s="9"/>
      <c r="L16" s="1"/>
      <c r="M16" s="1"/>
    </row>
    <row r="17" spans="1:15" ht="14.4">
      <c r="C17" s="3"/>
      <c r="E17" s="4"/>
      <c r="L17" s="1"/>
      <c r="M17" s="1"/>
    </row>
    <row r="18" spans="1:15" ht="29.25" customHeight="1">
      <c r="A18" s="5" t="s">
        <v>18</v>
      </c>
      <c r="B18" s="16"/>
      <c r="C18" s="17"/>
      <c r="D18" s="16"/>
      <c r="E18" s="8"/>
      <c r="F18" s="16"/>
      <c r="G18" s="16"/>
      <c r="H18" s="16"/>
      <c r="I18" s="16"/>
      <c r="J18" s="16"/>
      <c r="K18" s="16"/>
      <c r="L18" s="16"/>
      <c r="M18" s="16"/>
      <c r="N18" s="16"/>
      <c r="O18" s="16"/>
    </row>
    <row r="19" spans="1:15" ht="28.8">
      <c r="A19" s="18"/>
      <c r="B19" s="18"/>
      <c r="C19" s="19" t="s">
        <v>19</v>
      </c>
      <c r="D19" s="20" t="s">
        <v>20</v>
      </c>
      <c r="E19" s="19" t="s">
        <v>21</v>
      </c>
      <c r="F19" s="20"/>
      <c r="G19" s="20" t="s">
        <v>22</v>
      </c>
      <c r="H19" s="21" t="s">
        <v>22</v>
      </c>
      <c r="I19" s="20" t="s">
        <v>23</v>
      </c>
      <c r="J19" s="20" t="s">
        <v>23</v>
      </c>
      <c r="K19" s="20" t="s">
        <v>24</v>
      </c>
      <c r="L19" s="22" t="s">
        <v>25</v>
      </c>
      <c r="M19" s="22" t="s">
        <v>26</v>
      </c>
      <c r="N19" s="23" t="s">
        <v>27</v>
      </c>
      <c r="O19" s="23" t="s">
        <v>28</v>
      </c>
    </row>
    <row r="20" spans="1:15" ht="14.4">
      <c r="A20" s="24" t="s">
        <v>29</v>
      </c>
      <c r="B20" s="25"/>
      <c r="C20" s="26"/>
      <c r="D20" s="27"/>
      <c r="E20" s="28"/>
      <c r="F20" s="29"/>
      <c r="G20" s="29"/>
      <c r="H20" s="30">
        <f>H21+H25</f>
        <v>3</v>
      </c>
      <c r="I20" s="30"/>
      <c r="J20" s="30">
        <f>J21+J25</f>
        <v>0</v>
      </c>
      <c r="K20" s="31"/>
      <c r="L20" s="32"/>
      <c r="M20" s="32"/>
      <c r="N20" s="33"/>
      <c r="O20" s="33"/>
    </row>
    <row r="21" spans="1:15" ht="14.4">
      <c r="A21" s="34">
        <v>3</v>
      </c>
      <c r="B21" s="35" t="s">
        <v>30</v>
      </c>
      <c r="C21" s="36"/>
      <c r="D21" s="37"/>
      <c r="E21" s="38"/>
      <c r="F21" s="39"/>
      <c r="G21" s="39"/>
      <c r="H21" s="40">
        <f>H22</f>
        <v>1.3333333333333333</v>
      </c>
      <c r="I21" s="40"/>
      <c r="J21" s="40">
        <f>J22</f>
        <v>0</v>
      </c>
      <c r="K21" s="41"/>
      <c r="L21" s="32"/>
      <c r="M21" s="32"/>
      <c r="N21" s="33"/>
      <c r="O21" s="33"/>
    </row>
    <row r="22" spans="1:15" ht="57.6">
      <c r="A22" s="151"/>
      <c r="B22" s="151" t="s">
        <v>8</v>
      </c>
      <c r="C22" s="131" t="s">
        <v>31</v>
      </c>
      <c r="D22" s="42" t="s">
        <v>32</v>
      </c>
      <c r="E22" s="43">
        <v>3</v>
      </c>
      <c r="F22" s="128"/>
      <c r="G22" s="128">
        <v>1</v>
      </c>
      <c r="H22" s="130">
        <f>G22/$G$95</f>
        <v>1.3333333333333333</v>
      </c>
      <c r="I22" s="130">
        <f>F22/3</f>
        <v>0</v>
      </c>
      <c r="J22" s="130">
        <f>I22*H22</f>
        <v>0</v>
      </c>
      <c r="K22" s="131" t="s">
        <v>33</v>
      </c>
      <c r="L22" s="135" t="s">
        <v>34</v>
      </c>
      <c r="M22" s="135" t="s">
        <v>35</v>
      </c>
      <c r="N22" s="144" t="s">
        <v>36</v>
      </c>
      <c r="O22" s="144" t="s">
        <v>37</v>
      </c>
    </row>
    <row r="23" spans="1:15" ht="57.6">
      <c r="A23" s="133"/>
      <c r="B23" s="133"/>
      <c r="C23" s="133"/>
      <c r="D23" s="42" t="s">
        <v>38</v>
      </c>
      <c r="E23" s="43">
        <v>2</v>
      </c>
      <c r="F23" s="133"/>
      <c r="G23" s="133"/>
      <c r="H23" s="133"/>
      <c r="I23" s="133"/>
      <c r="J23" s="133"/>
      <c r="K23" s="133"/>
      <c r="L23" s="133"/>
      <c r="M23" s="133"/>
      <c r="N23" s="137"/>
      <c r="O23" s="137"/>
    </row>
    <row r="24" spans="1:15" ht="42" customHeight="1">
      <c r="A24" s="133"/>
      <c r="B24" s="129"/>
      <c r="C24" s="129"/>
      <c r="D24" s="45" t="s">
        <v>39</v>
      </c>
      <c r="E24" s="46">
        <v>1</v>
      </c>
      <c r="F24" s="129"/>
      <c r="G24" s="129"/>
      <c r="H24" s="129"/>
      <c r="I24" s="129"/>
      <c r="J24" s="129"/>
      <c r="K24" s="129"/>
      <c r="L24" s="129"/>
      <c r="M24" s="129"/>
      <c r="N24" s="137"/>
      <c r="O24" s="137"/>
    </row>
    <row r="25" spans="1:15" ht="14.4">
      <c r="A25" s="47">
        <v>4</v>
      </c>
      <c r="B25" s="48" t="s">
        <v>40</v>
      </c>
      <c r="C25" s="49"/>
      <c r="D25" s="50"/>
      <c r="E25" s="51"/>
      <c r="F25" s="52"/>
      <c r="G25" s="52"/>
      <c r="H25" s="53">
        <f>H26+H28</f>
        <v>1.6666666666666665</v>
      </c>
      <c r="I25" s="53"/>
      <c r="J25" s="53">
        <f>J26+J28</f>
        <v>0</v>
      </c>
      <c r="K25" s="54"/>
      <c r="L25" s="32"/>
      <c r="M25" s="32"/>
      <c r="N25" s="33"/>
      <c r="O25" s="33"/>
    </row>
    <row r="26" spans="1:15" ht="14.4">
      <c r="A26" s="185"/>
      <c r="B26" s="149" t="s">
        <v>8</v>
      </c>
      <c r="C26" s="183" t="s">
        <v>41</v>
      </c>
      <c r="D26" s="55" t="s">
        <v>42</v>
      </c>
      <c r="E26" s="56">
        <v>2</v>
      </c>
      <c r="F26" s="139"/>
      <c r="G26" s="142">
        <v>0.5</v>
      </c>
      <c r="H26" s="134">
        <f>G26/$G$95</f>
        <v>0.66666666666666663</v>
      </c>
      <c r="I26" s="134">
        <f>F26/2</f>
        <v>0</v>
      </c>
      <c r="J26" s="134">
        <f>I26*H26</f>
        <v>0</v>
      </c>
      <c r="K26" s="140" t="s">
        <v>43</v>
      </c>
      <c r="L26" s="135" t="s">
        <v>44</v>
      </c>
      <c r="M26" s="146"/>
      <c r="N26" s="145" t="s">
        <v>45</v>
      </c>
      <c r="O26" s="145" t="s">
        <v>46</v>
      </c>
    </row>
    <row r="27" spans="1:15" ht="14.4">
      <c r="A27" s="133"/>
      <c r="B27" s="129"/>
      <c r="C27" s="129"/>
      <c r="D27" s="60" t="s">
        <v>47</v>
      </c>
      <c r="E27" s="61">
        <v>1</v>
      </c>
      <c r="F27" s="129"/>
      <c r="G27" s="129"/>
      <c r="H27" s="129"/>
      <c r="I27" s="129"/>
      <c r="J27" s="129"/>
      <c r="K27" s="133"/>
      <c r="L27" s="133"/>
      <c r="M27" s="133"/>
      <c r="N27" s="137"/>
      <c r="O27" s="137"/>
    </row>
    <row r="28" spans="1:15" ht="14.4">
      <c r="A28" s="133"/>
      <c r="B28" s="149" t="s">
        <v>15</v>
      </c>
      <c r="C28" s="150" t="s">
        <v>48</v>
      </c>
      <c r="D28" s="55" t="s">
        <v>49</v>
      </c>
      <c r="E28" s="56">
        <v>2</v>
      </c>
      <c r="F28" s="139"/>
      <c r="G28" s="142">
        <v>0.75</v>
      </c>
      <c r="H28" s="134">
        <f>G28/$G$95</f>
        <v>1</v>
      </c>
      <c r="I28" s="134">
        <f>F28/2</f>
        <v>0</v>
      </c>
      <c r="J28" s="134">
        <f>I28*H28</f>
        <v>0</v>
      </c>
      <c r="K28" s="133"/>
      <c r="L28" s="133"/>
      <c r="M28" s="133"/>
      <c r="N28" s="145" t="s">
        <v>50</v>
      </c>
      <c r="O28" s="145" t="s">
        <v>46</v>
      </c>
    </row>
    <row r="29" spans="1:15" ht="30.75" customHeight="1">
      <c r="A29" s="129"/>
      <c r="B29" s="129"/>
      <c r="C29" s="129"/>
      <c r="D29" s="60" t="s">
        <v>51</v>
      </c>
      <c r="E29" s="61">
        <v>1</v>
      </c>
      <c r="F29" s="129"/>
      <c r="G29" s="129"/>
      <c r="H29" s="129"/>
      <c r="I29" s="129"/>
      <c r="J29" s="129"/>
      <c r="K29" s="129"/>
      <c r="L29" s="129"/>
      <c r="M29" s="129"/>
      <c r="N29" s="137"/>
      <c r="O29" s="137"/>
    </row>
    <row r="30" spans="1:15" ht="14.4">
      <c r="A30" s="24" t="s">
        <v>52</v>
      </c>
      <c r="B30" s="25"/>
      <c r="C30" s="26"/>
      <c r="D30" s="27"/>
      <c r="E30" s="28"/>
      <c r="F30" s="29"/>
      <c r="G30" s="29"/>
      <c r="H30" s="30">
        <f>H31+H36+H42+H56+H61</f>
        <v>15.333333333333332</v>
      </c>
      <c r="I30" s="30"/>
      <c r="J30" s="30">
        <f>J31+J36+J42+J56+J61</f>
        <v>0</v>
      </c>
      <c r="K30" s="31"/>
      <c r="L30" s="32"/>
      <c r="M30" s="63"/>
      <c r="N30" s="33"/>
      <c r="O30" s="33"/>
    </row>
    <row r="31" spans="1:15" ht="14.4">
      <c r="A31" s="47">
        <v>5</v>
      </c>
      <c r="B31" s="48" t="s">
        <v>53</v>
      </c>
      <c r="C31" s="49"/>
      <c r="D31" s="64"/>
      <c r="E31" s="51"/>
      <c r="F31" s="52"/>
      <c r="G31" s="52"/>
      <c r="H31" s="53">
        <f>H32</f>
        <v>1</v>
      </c>
      <c r="I31" s="53"/>
      <c r="J31" s="53">
        <f>J32</f>
        <v>0</v>
      </c>
      <c r="K31" s="54"/>
      <c r="L31" s="32"/>
      <c r="M31" s="63"/>
      <c r="N31" s="33"/>
      <c r="O31" s="33"/>
    </row>
    <row r="32" spans="1:15" ht="64.5" customHeight="1">
      <c r="A32" s="149"/>
      <c r="B32" s="149" t="s">
        <v>8</v>
      </c>
      <c r="C32" s="150" t="s">
        <v>54</v>
      </c>
      <c r="D32" s="55" t="s">
        <v>55</v>
      </c>
      <c r="E32" s="65">
        <v>3</v>
      </c>
      <c r="F32" s="142"/>
      <c r="G32" s="142">
        <v>0.75</v>
      </c>
      <c r="H32" s="134">
        <f>G32/$G$95</f>
        <v>1</v>
      </c>
      <c r="I32" s="134">
        <f>F32/3</f>
        <v>0</v>
      </c>
      <c r="J32" s="134">
        <f>I32*H32</f>
        <v>0</v>
      </c>
      <c r="K32" s="140" t="s">
        <v>56</v>
      </c>
      <c r="L32" s="135" t="s">
        <v>57</v>
      </c>
      <c r="M32" s="132" t="s">
        <v>58</v>
      </c>
      <c r="N32" s="171" t="s">
        <v>59</v>
      </c>
      <c r="O32" s="138" t="s">
        <v>60</v>
      </c>
    </row>
    <row r="33" spans="1:15" ht="64.5" customHeight="1">
      <c r="A33" s="133"/>
      <c r="B33" s="133"/>
      <c r="C33" s="133"/>
      <c r="D33" s="55" t="s">
        <v>61</v>
      </c>
      <c r="E33" s="65">
        <v>2</v>
      </c>
      <c r="F33" s="133"/>
      <c r="G33" s="133"/>
      <c r="H33" s="133"/>
      <c r="I33" s="133"/>
      <c r="J33" s="133"/>
      <c r="K33" s="133"/>
      <c r="L33" s="133"/>
      <c r="M33" s="133"/>
      <c r="N33" s="137"/>
      <c r="O33" s="137"/>
    </row>
    <row r="34" spans="1:15" ht="64.5" customHeight="1">
      <c r="A34" s="133"/>
      <c r="B34" s="133"/>
      <c r="C34" s="133"/>
      <c r="D34" s="55" t="s">
        <v>62</v>
      </c>
      <c r="E34" s="56">
        <v>1</v>
      </c>
      <c r="F34" s="133"/>
      <c r="G34" s="133"/>
      <c r="H34" s="133"/>
      <c r="I34" s="133"/>
      <c r="J34" s="133"/>
      <c r="K34" s="133"/>
      <c r="L34" s="133"/>
      <c r="M34" s="133"/>
      <c r="N34" s="137"/>
      <c r="O34" s="137"/>
    </row>
    <row r="35" spans="1:15" ht="64.5" customHeight="1">
      <c r="A35" s="129"/>
      <c r="B35" s="129"/>
      <c r="C35" s="129"/>
      <c r="D35" s="55" t="s">
        <v>63</v>
      </c>
      <c r="E35" s="56">
        <v>0</v>
      </c>
      <c r="F35" s="129"/>
      <c r="G35" s="129"/>
      <c r="H35" s="129"/>
      <c r="I35" s="129"/>
      <c r="J35" s="129"/>
      <c r="K35" s="129"/>
      <c r="L35" s="129"/>
      <c r="M35" s="129"/>
      <c r="N35" s="137"/>
      <c r="O35" s="137"/>
    </row>
    <row r="36" spans="1:15" ht="14.4">
      <c r="A36" s="47">
        <v>6</v>
      </c>
      <c r="B36" s="178" t="s">
        <v>64</v>
      </c>
      <c r="C36" s="176"/>
      <c r="D36" s="64"/>
      <c r="E36" s="51"/>
      <c r="F36" s="52"/>
      <c r="G36" s="52"/>
      <c r="H36" s="53">
        <f>H37</f>
        <v>0.66666666666666663</v>
      </c>
      <c r="I36" s="53"/>
      <c r="J36" s="53">
        <f>J37</f>
        <v>0</v>
      </c>
      <c r="K36" s="54"/>
      <c r="L36" s="32"/>
      <c r="M36" s="63"/>
    </row>
    <row r="37" spans="1:15" ht="18.75" customHeight="1">
      <c r="A37" s="149"/>
      <c r="B37" s="149" t="s">
        <v>8</v>
      </c>
      <c r="C37" s="150" t="s">
        <v>65</v>
      </c>
      <c r="D37" s="67" t="s">
        <v>66</v>
      </c>
      <c r="E37" s="56">
        <v>3</v>
      </c>
      <c r="F37" s="139"/>
      <c r="G37" s="139">
        <v>0.5</v>
      </c>
      <c r="H37" s="134">
        <f>G37/$G$95</f>
        <v>0.66666666666666663</v>
      </c>
      <c r="I37" s="134">
        <f>F37/3</f>
        <v>0</v>
      </c>
      <c r="J37" s="134">
        <f>I37*H37</f>
        <v>0</v>
      </c>
      <c r="K37" s="143" t="s">
        <v>67</v>
      </c>
      <c r="L37" s="135" t="s">
        <v>68</v>
      </c>
      <c r="M37" s="146"/>
      <c r="N37" s="136" t="s">
        <v>69</v>
      </c>
      <c r="O37" s="138" t="s">
        <v>70</v>
      </c>
    </row>
    <row r="38" spans="1:15" ht="18.75" customHeight="1">
      <c r="A38" s="133"/>
      <c r="B38" s="133"/>
      <c r="C38" s="133"/>
      <c r="D38" s="69" t="s">
        <v>71</v>
      </c>
      <c r="E38" s="56">
        <v>2</v>
      </c>
      <c r="F38" s="133"/>
      <c r="G38" s="133"/>
      <c r="H38" s="133"/>
      <c r="I38" s="133"/>
      <c r="J38" s="133"/>
      <c r="K38" s="133"/>
      <c r="L38" s="133"/>
      <c r="M38" s="133"/>
      <c r="N38" s="137"/>
      <c r="O38" s="137"/>
    </row>
    <row r="39" spans="1:15" ht="18.75" customHeight="1">
      <c r="A39" s="133"/>
      <c r="B39" s="133"/>
      <c r="C39" s="133"/>
      <c r="D39" s="69" t="s">
        <v>72</v>
      </c>
      <c r="E39" s="56">
        <v>1</v>
      </c>
      <c r="F39" s="133"/>
      <c r="G39" s="133"/>
      <c r="H39" s="133"/>
      <c r="I39" s="133"/>
      <c r="J39" s="133"/>
      <c r="K39" s="133"/>
      <c r="L39" s="133"/>
      <c r="M39" s="133"/>
      <c r="N39" s="137"/>
      <c r="O39" s="137"/>
    </row>
    <row r="40" spans="1:15" ht="37.5" customHeight="1">
      <c r="A40" s="133"/>
      <c r="B40" s="129"/>
      <c r="C40" s="129"/>
      <c r="D40" s="69" t="s">
        <v>73</v>
      </c>
      <c r="E40" s="56">
        <v>0</v>
      </c>
      <c r="F40" s="129"/>
      <c r="G40" s="129"/>
      <c r="H40" s="129"/>
      <c r="I40" s="129"/>
      <c r="J40" s="129"/>
      <c r="K40" s="133"/>
      <c r="L40" s="129"/>
      <c r="M40" s="129"/>
      <c r="N40" s="137"/>
      <c r="O40" s="137"/>
    </row>
    <row r="41" spans="1:15" ht="72">
      <c r="A41" s="129"/>
      <c r="B41" s="70" t="s">
        <v>15</v>
      </c>
      <c r="C41" s="71" t="s">
        <v>74</v>
      </c>
      <c r="D41" s="69" t="s">
        <v>75</v>
      </c>
      <c r="E41" s="72" t="s">
        <v>11</v>
      </c>
      <c r="F41" s="73"/>
      <c r="G41" s="73"/>
      <c r="H41" s="74"/>
      <c r="I41" s="74"/>
      <c r="J41" s="74"/>
      <c r="K41" s="75" t="s">
        <v>76</v>
      </c>
      <c r="L41" s="76"/>
      <c r="M41" s="77"/>
      <c r="N41" s="68"/>
      <c r="O41" s="68"/>
    </row>
    <row r="42" spans="1:15" ht="14.4">
      <c r="A42" s="47">
        <v>7</v>
      </c>
      <c r="B42" s="178" t="s">
        <v>77</v>
      </c>
      <c r="C42" s="176"/>
      <c r="D42" s="64"/>
      <c r="E42" s="51"/>
      <c r="F42" s="52"/>
      <c r="G42" s="52"/>
      <c r="H42" s="53">
        <f>H44+H46+H48+H50+H52+H54</f>
        <v>5.9999999999999991</v>
      </c>
      <c r="I42" s="53"/>
      <c r="J42" s="53">
        <f>J44+J46+J48+J50+J52+J54</f>
        <v>0</v>
      </c>
      <c r="K42" s="54"/>
      <c r="L42" s="32"/>
      <c r="M42" s="63"/>
      <c r="N42" s="78"/>
      <c r="O42" s="78"/>
    </row>
    <row r="43" spans="1:15" ht="87.75" customHeight="1">
      <c r="A43" s="149"/>
      <c r="B43" s="79" t="s">
        <v>8</v>
      </c>
      <c r="C43" s="62" t="s">
        <v>78</v>
      </c>
      <c r="D43" s="55"/>
      <c r="E43" s="56"/>
      <c r="F43" s="57"/>
      <c r="G43" s="57"/>
      <c r="H43" s="59"/>
      <c r="I43" s="59"/>
      <c r="J43" s="59"/>
      <c r="K43" s="80" t="s">
        <v>79</v>
      </c>
      <c r="L43" s="44"/>
      <c r="M43" s="66" t="s">
        <v>80</v>
      </c>
    </row>
    <row r="44" spans="1:15" ht="14.4">
      <c r="A44" s="133"/>
      <c r="B44" s="184">
        <v>1</v>
      </c>
      <c r="C44" s="179" t="s">
        <v>81</v>
      </c>
      <c r="D44" s="55" t="s">
        <v>49</v>
      </c>
      <c r="E44" s="56">
        <v>1</v>
      </c>
      <c r="F44" s="139"/>
      <c r="G44" s="139">
        <v>0.75</v>
      </c>
      <c r="H44" s="134">
        <f>G44/$G$95</f>
        <v>1</v>
      </c>
      <c r="I44" s="134">
        <f>F44</f>
        <v>0</v>
      </c>
      <c r="J44" s="134">
        <f>I44*H44</f>
        <v>0</v>
      </c>
      <c r="K44" s="140" t="s">
        <v>82</v>
      </c>
      <c r="L44" s="81"/>
      <c r="M44" s="135" t="s">
        <v>83</v>
      </c>
      <c r="N44" s="136" t="s">
        <v>84</v>
      </c>
      <c r="O44" s="145" t="s">
        <v>85</v>
      </c>
    </row>
    <row r="45" spans="1:15" ht="14.4">
      <c r="A45" s="133"/>
      <c r="B45" s="129"/>
      <c r="C45" s="129"/>
      <c r="D45" s="55" t="s">
        <v>51</v>
      </c>
      <c r="E45" s="56">
        <v>0</v>
      </c>
      <c r="F45" s="129"/>
      <c r="G45" s="129"/>
      <c r="H45" s="129"/>
      <c r="I45" s="129"/>
      <c r="J45" s="129"/>
      <c r="K45" s="129"/>
      <c r="L45" s="81"/>
      <c r="M45" s="129"/>
      <c r="N45" s="137"/>
      <c r="O45" s="137"/>
    </row>
    <row r="46" spans="1:15" ht="14.4">
      <c r="A46" s="133"/>
      <c r="B46" s="184">
        <v>2</v>
      </c>
      <c r="C46" s="179" t="s">
        <v>86</v>
      </c>
      <c r="D46" s="55" t="s">
        <v>49</v>
      </c>
      <c r="E46" s="56">
        <v>1</v>
      </c>
      <c r="F46" s="139"/>
      <c r="G46" s="139">
        <v>0.5</v>
      </c>
      <c r="H46" s="134">
        <f>G46/$G$95</f>
        <v>0.66666666666666663</v>
      </c>
      <c r="I46" s="134">
        <f>F46</f>
        <v>0</v>
      </c>
      <c r="J46" s="134">
        <f>I46*H46</f>
        <v>0</v>
      </c>
      <c r="K46" s="140" t="s">
        <v>87</v>
      </c>
      <c r="L46" s="81"/>
      <c r="M46" s="81"/>
      <c r="N46" s="136" t="s">
        <v>88</v>
      </c>
      <c r="O46" s="145" t="s">
        <v>89</v>
      </c>
    </row>
    <row r="47" spans="1:15" ht="19.5" customHeight="1">
      <c r="A47" s="133"/>
      <c r="B47" s="129"/>
      <c r="C47" s="129"/>
      <c r="D47" s="55" t="s">
        <v>51</v>
      </c>
      <c r="E47" s="56">
        <v>0</v>
      </c>
      <c r="F47" s="129"/>
      <c r="G47" s="129"/>
      <c r="H47" s="129"/>
      <c r="I47" s="129"/>
      <c r="J47" s="129"/>
      <c r="K47" s="129"/>
      <c r="L47" s="32"/>
      <c r="M47" s="82"/>
      <c r="N47" s="137"/>
      <c r="O47" s="137"/>
    </row>
    <row r="48" spans="1:15" ht="14.4">
      <c r="A48" s="133"/>
      <c r="B48" s="184">
        <v>3</v>
      </c>
      <c r="C48" s="186" t="s">
        <v>90</v>
      </c>
      <c r="D48" s="55" t="s">
        <v>49</v>
      </c>
      <c r="E48" s="56">
        <v>1</v>
      </c>
      <c r="F48" s="139"/>
      <c r="G48" s="139">
        <v>0.75</v>
      </c>
      <c r="H48" s="134">
        <f>G48/$G$95</f>
        <v>1</v>
      </c>
      <c r="I48" s="134">
        <f>F48</f>
        <v>0</v>
      </c>
      <c r="J48" s="134">
        <f>I48*H48</f>
        <v>0</v>
      </c>
      <c r="K48" s="140" t="s">
        <v>91</v>
      </c>
      <c r="L48" s="32"/>
      <c r="M48" s="83"/>
      <c r="N48" s="136" t="s">
        <v>92</v>
      </c>
      <c r="O48" s="145" t="s">
        <v>93</v>
      </c>
    </row>
    <row r="49" spans="1:15" ht="14.4">
      <c r="A49" s="133"/>
      <c r="B49" s="129"/>
      <c r="C49" s="129"/>
      <c r="D49" s="55" t="s">
        <v>51</v>
      </c>
      <c r="E49" s="56">
        <v>0</v>
      </c>
      <c r="F49" s="129"/>
      <c r="G49" s="129"/>
      <c r="H49" s="129"/>
      <c r="I49" s="129"/>
      <c r="J49" s="129"/>
      <c r="K49" s="129"/>
      <c r="L49" s="32"/>
      <c r="M49" s="83"/>
      <c r="N49" s="137"/>
      <c r="O49" s="137"/>
    </row>
    <row r="50" spans="1:15" ht="21" customHeight="1">
      <c r="A50" s="133"/>
      <c r="B50" s="184">
        <v>4</v>
      </c>
      <c r="C50" s="179" t="s">
        <v>94</v>
      </c>
      <c r="D50" s="55" t="s">
        <v>49</v>
      </c>
      <c r="E50" s="56">
        <v>1</v>
      </c>
      <c r="F50" s="139"/>
      <c r="G50" s="139">
        <v>0.5</v>
      </c>
      <c r="H50" s="134">
        <f>G50/$G$95</f>
        <v>0.66666666666666663</v>
      </c>
      <c r="I50" s="134">
        <f>F50</f>
        <v>0</v>
      </c>
      <c r="J50" s="134">
        <f>I50*H50</f>
        <v>0</v>
      </c>
      <c r="K50" s="180" t="s">
        <v>95</v>
      </c>
      <c r="L50" s="32"/>
      <c r="M50" s="84" t="s">
        <v>96</v>
      </c>
      <c r="N50" s="136" t="s">
        <v>97</v>
      </c>
      <c r="O50" s="145" t="s">
        <v>98</v>
      </c>
    </row>
    <row r="51" spans="1:15" ht="14.4">
      <c r="A51" s="133"/>
      <c r="B51" s="129"/>
      <c r="C51" s="129"/>
      <c r="D51" s="55" t="s">
        <v>51</v>
      </c>
      <c r="E51" s="56">
        <v>0</v>
      </c>
      <c r="F51" s="129"/>
      <c r="G51" s="129"/>
      <c r="H51" s="129"/>
      <c r="I51" s="129"/>
      <c r="J51" s="129"/>
      <c r="K51" s="129"/>
      <c r="L51" s="32"/>
      <c r="M51" s="83"/>
      <c r="N51" s="137"/>
      <c r="O51" s="137"/>
    </row>
    <row r="52" spans="1:15" ht="14.4">
      <c r="A52" s="133"/>
      <c r="B52" s="184">
        <v>5</v>
      </c>
      <c r="C52" s="179" t="s">
        <v>99</v>
      </c>
      <c r="D52" s="55" t="s">
        <v>49</v>
      </c>
      <c r="E52" s="56">
        <v>1</v>
      </c>
      <c r="F52" s="139"/>
      <c r="G52" s="139">
        <v>1</v>
      </c>
      <c r="H52" s="134">
        <f>G52/$G$95</f>
        <v>1.3333333333333333</v>
      </c>
      <c r="I52" s="134">
        <f>F52</f>
        <v>0</v>
      </c>
      <c r="J52" s="134">
        <f>I52*H52</f>
        <v>0</v>
      </c>
      <c r="K52" s="140" t="s">
        <v>100</v>
      </c>
      <c r="L52" s="32"/>
      <c r="M52" s="83"/>
      <c r="N52" s="136" t="s">
        <v>101</v>
      </c>
      <c r="O52" s="145" t="s">
        <v>102</v>
      </c>
    </row>
    <row r="53" spans="1:15" ht="14.4">
      <c r="A53" s="133"/>
      <c r="B53" s="129"/>
      <c r="C53" s="129"/>
      <c r="D53" s="55" t="s">
        <v>51</v>
      </c>
      <c r="E53" s="56">
        <v>0</v>
      </c>
      <c r="F53" s="129"/>
      <c r="G53" s="129"/>
      <c r="H53" s="129"/>
      <c r="I53" s="129"/>
      <c r="J53" s="129"/>
      <c r="K53" s="129"/>
      <c r="L53" s="32"/>
      <c r="M53" s="83"/>
      <c r="N53" s="137"/>
      <c r="O53" s="137"/>
    </row>
    <row r="54" spans="1:15" ht="14.4">
      <c r="A54" s="133"/>
      <c r="B54" s="184">
        <v>6</v>
      </c>
      <c r="C54" s="187" t="s">
        <v>103</v>
      </c>
      <c r="D54" s="55" t="s">
        <v>49</v>
      </c>
      <c r="E54" s="56">
        <v>1</v>
      </c>
      <c r="F54" s="139"/>
      <c r="G54" s="139">
        <v>1</v>
      </c>
      <c r="H54" s="134">
        <f>G54/$G$95</f>
        <v>1.3333333333333333</v>
      </c>
      <c r="I54" s="134">
        <f>F54</f>
        <v>0</v>
      </c>
      <c r="J54" s="134">
        <f>I54*H54</f>
        <v>0</v>
      </c>
      <c r="K54" s="140" t="s">
        <v>104</v>
      </c>
      <c r="L54" s="32"/>
      <c r="M54" s="83"/>
      <c r="N54" s="136" t="s">
        <v>105</v>
      </c>
      <c r="O54" s="145" t="s">
        <v>106</v>
      </c>
    </row>
    <row r="55" spans="1:15" ht="14.4">
      <c r="A55" s="129"/>
      <c r="B55" s="129"/>
      <c r="C55" s="129"/>
      <c r="D55" s="55" t="s">
        <v>51</v>
      </c>
      <c r="E55" s="56">
        <v>0</v>
      </c>
      <c r="F55" s="129"/>
      <c r="G55" s="129"/>
      <c r="H55" s="129"/>
      <c r="I55" s="129"/>
      <c r="J55" s="129"/>
      <c r="K55" s="129"/>
      <c r="L55" s="32"/>
      <c r="M55" s="83"/>
      <c r="N55" s="137"/>
      <c r="O55" s="137"/>
    </row>
    <row r="56" spans="1:15" ht="14.4">
      <c r="A56" s="47">
        <v>8</v>
      </c>
      <c r="B56" s="178" t="s">
        <v>107</v>
      </c>
      <c r="C56" s="176"/>
      <c r="D56" s="64"/>
      <c r="E56" s="51"/>
      <c r="F56" s="52"/>
      <c r="G56" s="52"/>
      <c r="H56" s="53">
        <f>H57</f>
        <v>1.3333333333333333</v>
      </c>
      <c r="I56" s="53"/>
      <c r="J56" s="53">
        <f>J57</f>
        <v>0</v>
      </c>
      <c r="K56" s="54"/>
      <c r="L56" s="32"/>
      <c r="M56" s="63"/>
    </row>
    <row r="57" spans="1:15" ht="57.6">
      <c r="A57" s="149"/>
      <c r="B57" s="149" t="s">
        <v>8</v>
      </c>
      <c r="C57" s="150" t="s">
        <v>108</v>
      </c>
      <c r="D57" s="85" t="s">
        <v>109</v>
      </c>
      <c r="E57" s="56">
        <v>3</v>
      </c>
      <c r="F57" s="142"/>
      <c r="G57" s="142">
        <v>1</v>
      </c>
      <c r="H57" s="134">
        <f>G57/$G$95</f>
        <v>1.3333333333333333</v>
      </c>
      <c r="I57" s="134">
        <f>F57/3</f>
        <v>0</v>
      </c>
      <c r="J57" s="134">
        <f>I57*H57</f>
        <v>0</v>
      </c>
      <c r="K57" s="140" t="s">
        <v>110</v>
      </c>
      <c r="L57" s="135" t="s">
        <v>111</v>
      </c>
      <c r="M57" s="132" t="s">
        <v>112</v>
      </c>
      <c r="N57" s="136" t="s">
        <v>113</v>
      </c>
      <c r="O57" s="138" t="s">
        <v>114</v>
      </c>
    </row>
    <row r="58" spans="1:15" ht="43.2">
      <c r="A58" s="133"/>
      <c r="B58" s="133"/>
      <c r="C58" s="133"/>
      <c r="D58" s="55" t="s">
        <v>115</v>
      </c>
      <c r="E58" s="56">
        <v>2</v>
      </c>
      <c r="F58" s="133"/>
      <c r="G58" s="133"/>
      <c r="H58" s="133"/>
      <c r="I58" s="133"/>
      <c r="J58" s="133"/>
      <c r="K58" s="133"/>
      <c r="L58" s="133"/>
      <c r="M58" s="133"/>
      <c r="N58" s="137"/>
      <c r="O58" s="137"/>
    </row>
    <row r="59" spans="1:15" ht="43.5" customHeight="1">
      <c r="A59" s="133"/>
      <c r="B59" s="133"/>
      <c r="C59" s="133"/>
      <c r="D59" s="85" t="s">
        <v>116</v>
      </c>
      <c r="E59" s="56">
        <v>1</v>
      </c>
      <c r="F59" s="133"/>
      <c r="G59" s="133"/>
      <c r="H59" s="133"/>
      <c r="I59" s="133"/>
      <c r="J59" s="133"/>
      <c r="K59" s="133"/>
      <c r="L59" s="133"/>
      <c r="M59" s="133"/>
      <c r="N59" s="137"/>
      <c r="O59" s="137"/>
    </row>
    <row r="60" spans="1:15" ht="18.75" customHeight="1">
      <c r="A60" s="129"/>
      <c r="B60" s="129"/>
      <c r="C60" s="129"/>
      <c r="D60" s="85" t="s">
        <v>117</v>
      </c>
      <c r="E60" s="56">
        <v>0</v>
      </c>
      <c r="F60" s="129"/>
      <c r="G60" s="129"/>
      <c r="H60" s="129"/>
      <c r="I60" s="129"/>
      <c r="J60" s="129"/>
      <c r="K60" s="129"/>
      <c r="L60" s="129"/>
      <c r="M60" s="129"/>
      <c r="N60" s="137"/>
      <c r="O60" s="137"/>
    </row>
    <row r="61" spans="1:15" ht="15.75" customHeight="1">
      <c r="A61" s="47">
        <v>9</v>
      </c>
      <c r="B61" s="48" t="s">
        <v>118</v>
      </c>
      <c r="C61" s="49"/>
      <c r="D61" s="64"/>
      <c r="E61" s="51"/>
      <c r="F61" s="52"/>
      <c r="G61" s="52"/>
      <c r="H61" s="53">
        <f>H63+H65+H67+H69+H71+H73</f>
        <v>6.3333333333333321</v>
      </c>
      <c r="I61" s="53"/>
      <c r="J61" s="53">
        <f>J63+J65+J67+J69+J71+J73</f>
        <v>0</v>
      </c>
      <c r="K61" s="54"/>
      <c r="L61" s="32"/>
      <c r="M61" s="63"/>
      <c r="N61" s="33"/>
      <c r="O61" s="33"/>
    </row>
    <row r="62" spans="1:15" ht="44.25" customHeight="1">
      <c r="A62" s="151"/>
      <c r="B62" s="34" t="s">
        <v>8</v>
      </c>
      <c r="C62" s="42" t="s">
        <v>119</v>
      </c>
      <c r="D62" s="42"/>
      <c r="E62" s="86"/>
      <c r="F62" s="86"/>
      <c r="G62" s="86"/>
      <c r="H62" s="87"/>
      <c r="I62" s="87"/>
      <c r="J62" s="87"/>
      <c r="K62" s="88"/>
      <c r="L62" s="81"/>
      <c r="M62" s="132" t="s">
        <v>120</v>
      </c>
    </row>
    <row r="63" spans="1:15" ht="49.5" customHeight="1">
      <c r="A63" s="133"/>
      <c r="B63" s="188">
        <v>1</v>
      </c>
      <c r="C63" s="189" t="s">
        <v>121</v>
      </c>
      <c r="D63" s="42" t="s">
        <v>49</v>
      </c>
      <c r="E63" s="86">
        <v>1</v>
      </c>
      <c r="F63" s="128"/>
      <c r="G63" s="128">
        <v>0.5</v>
      </c>
      <c r="H63" s="130">
        <f>G63/$G$95</f>
        <v>0.66666666666666663</v>
      </c>
      <c r="I63" s="130">
        <f>F63</f>
        <v>0</v>
      </c>
      <c r="J63" s="130">
        <f>I63*H63</f>
        <v>0</v>
      </c>
      <c r="K63" s="131" t="s">
        <v>122</v>
      </c>
      <c r="L63" s="135" t="s">
        <v>123</v>
      </c>
      <c r="M63" s="133"/>
      <c r="N63" s="145" t="s">
        <v>124</v>
      </c>
      <c r="O63" s="145" t="s">
        <v>125</v>
      </c>
    </row>
    <row r="64" spans="1:15" ht="49.5" customHeight="1">
      <c r="A64" s="133"/>
      <c r="B64" s="129"/>
      <c r="C64" s="129"/>
      <c r="D64" s="42" t="s">
        <v>51</v>
      </c>
      <c r="E64" s="86">
        <v>0</v>
      </c>
      <c r="F64" s="129"/>
      <c r="G64" s="129"/>
      <c r="H64" s="129"/>
      <c r="I64" s="129"/>
      <c r="J64" s="129"/>
      <c r="K64" s="129"/>
      <c r="L64" s="129"/>
      <c r="M64" s="133"/>
      <c r="N64" s="137"/>
      <c r="O64" s="137"/>
    </row>
    <row r="65" spans="1:15" ht="48.75" customHeight="1">
      <c r="A65" s="133"/>
      <c r="B65" s="188">
        <v>2</v>
      </c>
      <c r="C65" s="189" t="s">
        <v>126</v>
      </c>
      <c r="D65" s="42" t="s">
        <v>49</v>
      </c>
      <c r="E65" s="86">
        <v>1</v>
      </c>
      <c r="F65" s="128"/>
      <c r="G65" s="128">
        <v>0.5</v>
      </c>
      <c r="H65" s="130">
        <f>G65/$G$95</f>
        <v>0.66666666666666663</v>
      </c>
      <c r="I65" s="130">
        <f>F65</f>
        <v>0</v>
      </c>
      <c r="J65" s="130">
        <f>I65*H65</f>
        <v>0</v>
      </c>
      <c r="K65" s="131" t="s">
        <v>127</v>
      </c>
      <c r="L65" s="135" t="s">
        <v>128</v>
      </c>
      <c r="M65" s="133"/>
      <c r="N65" s="145" t="s">
        <v>129</v>
      </c>
      <c r="O65" s="145" t="s">
        <v>130</v>
      </c>
    </row>
    <row r="66" spans="1:15" ht="48.75" customHeight="1">
      <c r="A66" s="133"/>
      <c r="B66" s="129"/>
      <c r="C66" s="129"/>
      <c r="D66" s="42" t="s">
        <v>51</v>
      </c>
      <c r="E66" s="86">
        <v>0</v>
      </c>
      <c r="F66" s="129"/>
      <c r="G66" s="129"/>
      <c r="H66" s="129"/>
      <c r="I66" s="129"/>
      <c r="J66" s="129"/>
      <c r="K66" s="129"/>
      <c r="L66" s="129"/>
      <c r="M66" s="133"/>
      <c r="N66" s="137"/>
      <c r="O66" s="137"/>
    </row>
    <row r="67" spans="1:15" ht="39.75" customHeight="1">
      <c r="A67" s="133"/>
      <c r="B67" s="188">
        <v>3</v>
      </c>
      <c r="C67" s="189" t="s">
        <v>131</v>
      </c>
      <c r="D67" s="42" t="s">
        <v>49</v>
      </c>
      <c r="E67" s="86">
        <v>1</v>
      </c>
      <c r="F67" s="128"/>
      <c r="G67" s="128">
        <v>0.75</v>
      </c>
      <c r="H67" s="130">
        <f>G67/$G$95</f>
        <v>1</v>
      </c>
      <c r="I67" s="130">
        <f>F67</f>
        <v>0</v>
      </c>
      <c r="J67" s="130">
        <f>I67*H67</f>
        <v>0</v>
      </c>
      <c r="K67" s="131" t="s">
        <v>132</v>
      </c>
      <c r="L67" s="135" t="s">
        <v>133</v>
      </c>
      <c r="M67" s="133"/>
      <c r="N67" s="145" t="s">
        <v>134</v>
      </c>
      <c r="O67" s="145" t="s">
        <v>135</v>
      </c>
    </row>
    <row r="68" spans="1:15" ht="39.75" customHeight="1">
      <c r="A68" s="133"/>
      <c r="B68" s="129"/>
      <c r="C68" s="129"/>
      <c r="D68" s="42" t="s">
        <v>51</v>
      </c>
      <c r="E68" s="86">
        <v>0</v>
      </c>
      <c r="F68" s="129"/>
      <c r="G68" s="129"/>
      <c r="H68" s="129"/>
      <c r="I68" s="129"/>
      <c r="J68" s="129"/>
      <c r="K68" s="129"/>
      <c r="L68" s="129"/>
      <c r="M68" s="133"/>
      <c r="N68" s="137"/>
      <c r="O68" s="137"/>
    </row>
    <row r="69" spans="1:15" ht="45" customHeight="1">
      <c r="A69" s="133"/>
      <c r="B69" s="188">
        <v>4</v>
      </c>
      <c r="C69" s="189" t="s">
        <v>136</v>
      </c>
      <c r="D69" s="42" t="s">
        <v>49</v>
      </c>
      <c r="E69" s="86">
        <v>1</v>
      </c>
      <c r="F69" s="128"/>
      <c r="G69" s="128">
        <v>1</v>
      </c>
      <c r="H69" s="130">
        <f>G69/$G$95</f>
        <v>1.3333333333333333</v>
      </c>
      <c r="I69" s="130">
        <f>F69</f>
        <v>0</v>
      </c>
      <c r="J69" s="130">
        <f>I69*H69</f>
        <v>0</v>
      </c>
      <c r="K69" s="131" t="s">
        <v>137</v>
      </c>
      <c r="L69" s="132" t="s">
        <v>138</v>
      </c>
      <c r="M69" s="133"/>
      <c r="N69" s="145" t="s">
        <v>139</v>
      </c>
      <c r="O69" s="145" t="s">
        <v>140</v>
      </c>
    </row>
    <row r="70" spans="1:15" ht="45" customHeight="1">
      <c r="A70" s="133"/>
      <c r="B70" s="129"/>
      <c r="C70" s="129"/>
      <c r="D70" s="42" t="s">
        <v>51</v>
      </c>
      <c r="E70" s="86">
        <v>0</v>
      </c>
      <c r="F70" s="129"/>
      <c r="G70" s="129"/>
      <c r="H70" s="129"/>
      <c r="I70" s="129"/>
      <c r="J70" s="129"/>
      <c r="K70" s="129"/>
      <c r="L70" s="133"/>
      <c r="M70" s="133"/>
      <c r="N70" s="137"/>
      <c r="O70" s="137"/>
    </row>
    <row r="71" spans="1:15" ht="38.25" customHeight="1">
      <c r="A71" s="133"/>
      <c r="B71" s="188">
        <v>5</v>
      </c>
      <c r="C71" s="189" t="s">
        <v>141</v>
      </c>
      <c r="D71" s="42" t="s">
        <v>49</v>
      </c>
      <c r="E71" s="86">
        <v>1</v>
      </c>
      <c r="F71" s="128"/>
      <c r="G71" s="128">
        <v>1</v>
      </c>
      <c r="H71" s="130">
        <f>G71/$G$95</f>
        <v>1.3333333333333333</v>
      </c>
      <c r="I71" s="130">
        <f>F71</f>
        <v>0</v>
      </c>
      <c r="J71" s="130">
        <f>I71*H71</f>
        <v>0</v>
      </c>
      <c r="K71" s="131" t="s">
        <v>142</v>
      </c>
      <c r="L71" s="132" t="s">
        <v>143</v>
      </c>
      <c r="M71" s="133"/>
      <c r="N71" s="145" t="s">
        <v>144</v>
      </c>
      <c r="O71" s="145" t="s">
        <v>145</v>
      </c>
    </row>
    <row r="72" spans="1:15" ht="38.25" customHeight="1">
      <c r="A72" s="133"/>
      <c r="B72" s="129"/>
      <c r="C72" s="129"/>
      <c r="D72" s="42" t="s">
        <v>51</v>
      </c>
      <c r="E72" s="86">
        <v>0</v>
      </c>
      <c r="F72" s="129"/>
      <c r="G72" s="129"/>
      <c r="H72" s="129"/>
      <c r="I72" s="129"/>
      <c r="J72" s="129"/>
      <c r="K72" s="129"/>
      <c r="L72" s="133"/>
      <c r="M72" s="133"/>
      <c r="N72" s="137"/>
      <c r="O72" s="137"/>
    </row>
    <row r="73" spans="1:15" ht="42.75" customHeight="1">
      <c r="A73" s="133"/>
      <c r="B73" s="188">
        <v>6</v>
      </c>
      <c r="C73" s="189" t="s">
        <v>146</v>
      </c>
      <c r="D73" s="42" t="s">
        <v>49</v>
      </c>
      <c r="E73" s="86">
        <v>1</v>
      </c>
      <c r="F73" s="128"/>
      <c r="G73" s="128">
        <v>1</v>
      </c>
      <c r="H73" s="130">
        <f>G73/$G$95</f>
        <v>1.3333333333333333</v>
      </c>
      <c r="I73" s="130">
        <f>F73</f>
        <v>0</v>
      </c>
      <c r="J73" s="130">
        <f>I73*H73</f>
        <v>0</v>
      </c>
      <c r="K73" s="131" t="s">
        <v>147</v>
      </c>
      <c r="L73" s="132" t="s">
        <v>148</v>
      </c>
      <c r="M73" s="133"/>
      <c r="N73" s="145" t="s">
        <v>149</v>
      </c>
      <c r="O73" s="145" t="s">
        <v>150</v>
      </c>
    </row>
    <row r="74" spans="1:15" ht="42.75" customHeight="1">
      <c r="A74" s="129"/>
      <c r="B74" s="129"/>
      <c r="C74" s="129"/>
      <c r="D74" s="42" t="s">
        <v>51</v>
      </c>
      <c r="E74" s="86">
        <v>0</v>
      </c>
      <c r="F74" s="129"/>
      <c r="G74" s="129"/>
      <c r="H74" s="129"/>
      <c r="I74" s="129"/>
      <c r="J74" s="129"/>
      <c r="K74" s="129"/>
      <c r="L74" s="129"/>
      <c r="M74" s="129"/>
      <c r="N74" s="137"/>
      <c r="O74" s="137"/>
    </row>
    <row r="75" spans="1:15" ht="15.75" customHeight="1">
      <c r="A75" s="24" t="s">
        <v>151</v>
      </c>
      <c r="B75" s="25"/>
      <c r="C75" s="26"/>
      <c r="D75" s="27"/>
      <c r="E75" s="28"/>
      <c r="F75" s="29"/>
      <c r="G75" s="29"/>
      <c r="H75" s="30">
        <f>H76+H81+H90+H99+H104</f>
        <v>10</v>
      </c>
      <c r="I75" s="30"/>
      <c r="J75" s="30">
        <f>J76+J81+J90+J99+J104</f>
        <v>0</v>
      </c>
      <c r="K75" s="31"/>
      <c r="L75" s="32"/>
      <c r="M75" s="63"/>
      <c r="N75" s="33"/>
      <c r="O75" s="33"/>
    </row>
    <row r="76" spans="1:15" ht="15.75" customHeight="1">
      <c r="A76" s="89">
        <v>10</v>
      </c>
      <c r="B76" s="48" t="s">
        <v>152</v>
      </c>
      <c r="C76" s="49"/>
      <c r="D76" s="64"/>
      <c r="E76" s="51"/>
      <c r="F76" s="52"/>
      <c r="G76" s="52"/>
      <c r="H76" s="53">
        <f>H77</f>
        <v>1</v>
      </c>
      <c r="I76" s="53"/>
      <c r="J76" s="53">
        <f>J77</f>
        <v>0</v>
      </c>
      <c r="K76" s="54"/>
      <c r="L76" s="32"/>
      <c r="M76" s="83"/>
      <c r="N76" s="90"/>
      <c r="O76" s="90"/>
    </row>
    <row r="77" spans="1:15" ht="14.4">
      <c r="A77" s="190"/>
      <c r="B77" s="149" t="s">
        <v>8</v>
      </c>
      <c r="C77" s="191" t="s">
        <v>153</v>
      </c>
      <c r="D77" s="55" t="s">
        <v>154</v>
      </c>
      <c r="E77" s="56">
        <v>4</v>
      </c>
      <c r="F77" s="142"/>
      <c r="G77" s="142">
        <v>0.75</v>
      </c>
      <c r="H77" s="134">
        <f>G77/$G$95</f>
        <v>1</v>
      </c>
      <c r="I77" s="134">
        <f>F77/4</f>
        <v>0</v>
      </c>
      <c r="J77" s="134">
        <f>I77*H77</f>
        <v>0</v>
      </c>
      <c r="K77" s="143" t="s">
        <v>155</v>
      </c>
      <c r="L77" s="135" t="s">
        <v>156</v>
      </c>
      <c r="M77" s="132" t="s">
        <v>157</v>
      </c>
      <c r="N77" s="141" t="s">
        <v>158</v>
      </c>
      <c r="O77" s="141" t="s">
        <v>159</v>
      </c>
    </row>
    <row r="78" spans="1:15" ht="14.4">
      <c r="A78" s="133"/>
      <c r="B78" s="133"/>
      <c r="C78" s="133"/>
      <c r="D78" s="55" t="s">
        <v>160</v>
      </c>
      <c r="E78" s="56">
        <v>3</v>
      </c>
      <c r="F78" s="133"/>
      <c r="G78" s="133"/>
      <c r="H78" s="133"/>
      <c r="I78" s="133"/>
      <c r="J78" s="133"/>
      <c r="K78" s="133"/>
      <c r="L78" s="133"/>
      <c r="M78" s="133"/>
      <c r="N78" s="137"/>
      <c r="O78" s="137"/>
    </row>
    <row r="79" spans="1:15" ht="14.4">
      <c r="A79" s="133"/>
      <c r="B79" s="133"/>
      <c r="C79" s="133"/>
      <c r="D79" s="55" t="s">
        <v>161</v>
      </c>
      <c r="E79" s="56">
        <v>2</v>
      </c>
      <c r="F79" s="133"/>
      <c r="G79" s="133"/>
      <c r="H79" s="133"/>
      <c r="I79" s="133"/>
      <c r="J79" s="133"/>
      <c r="K79" s="133"/>
      <c r="L79" s="133"/>
      <c r="M79" s="133"/>
      <c r="N79" s="137"/>
      <c r="O79" s="137"/>
    </row>
    <row r="80" spans="1:15" ht="75" customHeight="1">
      <c r="A80" s="133"/>
      <c r="B80" s="129"/>
      <c r="C80" s="129"/>
      <c r="D80" s="55" t="s">
        <v>162</v>
      </c>
      <c r="E80" s="56">
        <v>1</v>
      </c>
      <c r="F80" s="129"/>
      <c r="G80" s="129"/>
      <c r="H80" s="129"/>
      <c r="I80" s="129"/>
      <c r="J80" s="129"/>
      <c r="K80" s="129"/>
      <c r="L80" s="129"/>
      <c r="M80" s="129"/>
      <c r="N80" s="137"/>
      <c r="O80" s="137"/>
    </row>
    <row r="81" spans="1:15" ht="15.75" customHeight="1">
      <c r="A81" s="91">
        <v>11</v>
      </c>
      <c r="B81" s="48" t="s">
        <v>163</v>
      </c>
      <c r="C81" s="49"/>
      <c r="D81" s="64"/>
      <c r="E81" s="51"/>
      <c r="F81" s="52"/>
      <c r="G81" s="52"/>
      <c r="H81" s="53">
        <f>H82+H86</f>
        <v>2.6666666666666665</v>
      </c>
      <c r="I81" s="53"/>
      <c r="J81" s="53">
        <f>J82+J86</f>
        <v>0</v>
      </c>
      <c r="K81" s="54"/>
      <c r="L81" s="32"/>
      <c r="M81" s="92"/>
      <c r="N81" s="90"/>
      <c r="O81" s="90"/>
    </row>
    <row r="82" spans="1:15" ht="28.8">
      <c r="A82" s="190"/>
      <c r="B82" s="149" t="s">
        <v>8</v>
      </c>
      <c r="C82" s="150" t="s">
        <v>164</v>
      </c>
      <c r="D82" s="55" t="s">
        <v>165</v>
      </c>
      <c r="E82" s="56">
        <v>3</v>
      </c>
      <c r="F82" s="142"/>
      <c r="G82" s="142">
        <v>1</v>
      </c>
      <c r="H82" s="134">
        <f>G82/$G$95</f>
        <v>1.3333333333333333</v>
      </c>
      <c r="I82" s="134">
        <f>F82/3</f>
        <v>0</v>
      </c>
      <c r="J82" s="134">
        <f>I82*H82</f>
        <v>0</v>
      </c>
      <c r="K82" s="143" t="s">
        <v>166</v>
      </c>
      <c r="L82" s="135" t="s">
        <v>167</v>
      </c>
      <c r="M82" s="132" t="s">
        <v>168</v>
      </c>
      <c r="N82" s="136" t="s">
        <v>169</v>
      </c>
      <c r="O82" s="144" t="s">
        <v>170</v>
      </c>
    </row>
    <row r="83" spans="1:15" ht="28.8">
      <c r="A83" s="133"/>
      <c r="B83" s="133"/>
      <c r="C83" s="133"/>
      <c r="D83" s="55" t="s">
        <v>171</v>
      </c>
      <c r="E83" s="56">
        <v>2</v>
      </c>
      <c r="F83" s="133"/>
      <c r="G83" s="133"/>
      <c r="H83" s="133"/>
      <c r="I83" s="133"/>
      <c r="J83" s="133"/>
      <c r="K83" s="133"/>
      <c r="L83" s="133"/>
      <c r="M83" s="133"/>
      <c r="N83" s="137"/>
      <c r="O83" s="137"/>
    </row>
    <row r="84" spans="1:15" ht="28.8">
      <c r="A84" s="133"/>
      <c r="B84" s="133"/>
      <c r="C84" s="133"/>
      <c r="D84" s="55" t="s">
        <v>172</v>
      </c>
      <c r="E84" s="56">
        <v>1</v>
      </c>
      <c r="F84" s="133"/>
      <c r="G84" s="133"/>
      <c r="H84" s="133"/>
      <c r="I84" s="133"/>
      <c r="J84" s="133"/>
      <c r="K84" s="133"/>
      <c r="L84" s="133"/>
      <c r="M84" s="133"/>
      <c r="N84" s="137"/>
      <c r="O84" s="137"/>
    </row>
    <row r="85" spans="1:15" ht="14.4">
      <c r="A85" s="133"/>
      <c r="B85" s="129"/>
      <c r="C85" s="129"/>
      <c r="D85" s="55" t="s">
        <v>173</v>
      </c>
      <c r="E85" s="56">
        <v>0</v>
      </c>
      <c r="F85" s="129"/>
      <c r="G85" s="129"/>
      <c r="H85" s="129"/>
      <c r="I85" s="129"/>
      <c r="J85" s="129"/>
      <c r="K85" s="129"/>
      <c r="L85" s="129"/>
      <c r="M85" s="129"/>
      <c r="N85" s="137"/>
      <c r="O85" s="137"/>
    </row>
    <row r="86" spans="1:15" ht="28.8">
      <c r="A86" s="133"/>
      <c r="B86" s="149" t="s">
        <v>15</v>
      </c>
      <c r="C86" s="150" t="s">
        <v>174</v>
      </c>
      <c r="D86" s="67" t="s">
        <v>175</v>
      </c>
      <c r="E86" s="56">
        <v>3</v>
      </c>
      <c r="F86" s="142"/>
      <c r="G86" s="142">
        <v>1</v>
      </c>
      <c r="H86" s="134">
        <f>G86/$G$95</f>
        <v>1.3333333333333333</v>
      </c>
      <c r="I86" s="134">
        <f>F86/3</f>
        <v>0</v>
      </c>
      <c r="J86" s="134">
        <f>I86*H86</f>
        <v>0</v>
      </c>
      <c r="K86" s="140" t="s">
        <v>176</v>
      </c>
      <c r="L86" s="135" t="s">
        <v>177</v>
      </c>
      <c r="M86" s="132" t="s">
        <v>178</v>
      </c>
      <c r="N86" s="145" t="s">
        <v>179</v>
      </c>
      <c r="O86" s="144" t="s">
        <v>180</v>
      </c>
    </row>
    <row r="87" spans="1:15" ht="28.8">
      <c r="A87" s="133"/>
      <c r="B87" s="133"/>
      <c r="C87" s="133"/>
      <c r="D87" s="67" t="s">
        <v>181</v>
      </c>
      <c r="E87" s="56">
        <v>2</v>
      </c>
      <c r="F87" s="133"/>
      <c r="G87" s="133"/>
      <c r="H87" s="133"/>
      <c r="I87" s="133"/>
      <c r="J87" s="133"/>
      <c r="K87" s="133"/>
      <c r="L87" s="133"/>
      <c r="M87" s="133"/>
      <c r="N87" s="137"/>
      <c r="O87" s="137"/>
    </row>
    <row r="88" spans="1:15" ht="14.4">
      <c r="A88" s="133"/>
      <c r="B88" s="133"/>
      <c r="C88" s="133"/>
      <c r="D88" s="67" t="s">
        <v>182</v>
      </c>
      <c r="E88" s="56">
        <v>1</v>
      </c>
      <c r="F88" s="133"/>
      <c r="G88" s="133"/>
      <c r="H88" s="133"/>
      <c r="I88" s="133"/>
      <c r="J88" s="133"/>
      <c r="K88" s="133"/>
      <c r="L88" s="133"/>
      <c r="M88" s="133"/>
      <c r="N88" s="137"/>
      <c r="O88" s="137"/>
    </row>
    <row r="89" spans="1:15" ht="14.4">
      <c r="A89" s="129"/>
      <c r="B89" s="129"/>
      <c r="C89" s="129"/>
      <c r="D89" s="69" t="s">
        <v>183</v>
      </c>
      <c r="E89" s="56">
        <v>0</v>
      </c>
      <c r="F89" s="129"/>
      <c r="G89" s="129"/>
      <c r="H89" s="129"/>
      <c r="I89" s="129"/>
      <c r="J89" s="129"/>
      <c r="K89" s="129"/>
      <c r="L89" s="129"/>
      <c r="M89" s="129"/>
      <c r="N89" s="137"/>
      <c r="O89" s="137"/>
    </row>
    <row r="90" spans="1:15" ht="15.75" customHeight="1">
      <c r="A90" s="47">
        <v>12</v>
      </c>
      <c r="B90" s="48" t="s">
        <v>184</v>
      </c>
      <c r="C90" s="49"/>
      <c r="D90" s="64"/>
      <c r="E90" s="51"/>
      <c r="F90" s="52"/>
      <c r="G90" s="52"/>
      <c r="H90" s="53">
        <f>H91+H95</f>
        <v>2.333333333333333</v>
      </c>
      <c r="I90" s="53"/>
      <c r="J90" s="53">
        <f>J91+J95</f>
        <v>0</v>
      </c>
      <c r="K90" s="54"/>
      <c r="L90" s="32"/>
      <c r="M90" s="93"/>
      <c r="N90" s="33"/>
      <c r="O90" s="33"/>
    </row>
    <row r="91" spans="1:15" ht="57.6">
      <c r="A91" s="149"/>
      <c r="B91" s="149" t="s">
        <v>8</v>
      </c>
      <c r="C91" s="150" t="s">
        <v>185</v>
      </c>
      <c r="D91" s="55" t="s">
        <v>186</v>
      </c>
      <c r="E91" s="56">
        <v>3</v>
      </c>
      <c r="F91" s="142"/>
      <c r="G91" s="142">
        <v>1</v>
      </c>
      <c r="H91" s="134">
        <f>G91/$G$95</f>
        <v>1.3333333333333333</v>
      </c>
      <c r="I91" s="134">
        <f>F91/3</f>
        <v>0</v>
      </c>
      <c r="J91" s="134">
        <f>I91*H91</f>
        <v>0</v>
      </c>
      <c r="K91" s="140" t="s">
        <v>187</v>
      </c>
      <c r="L91" s="135" t="s">
        <v>188</v>
      </c>
      <c r="M91" s="132" t="s">
        <v>189</v>
      </c>
      <c r="N91" s="136" t="s">
        <v>190</v>
      </c>
      <c r="O91" s="144" t="s">
        <v>191</v>
      </c>
    </row>
    <row r="92" spans="1:15" ht="43.2">
      <c r="A92" s="133"/>
      <c r="B92" s="133"/>
      <c r="C92" s="133"/>
      <c r="D92" s="94" t="s">
        <v>192</v>
      </c>
      <c r="E92" s="56">
        <v>2</v>
      </c>
      <c r="F92" s="133"/>
      <c r="G92" s="133"/>
      <c r="H92" s="133"/>
      <c r="I92" s="133"/>
      <c r="J92" s="133"/>
      <c r="K92" s="133"/>
      <c r="L92" s="133"/>
      <c r="M92" s="133"/>
      <c r="N92" s="137"/>
      <c r="O92" s="137"/>
    </row>
    <row r="93" spans="1:15" ht="40.5" customHeight="1">
      <c r="A93" s="133"/>
      <c r="B93" s="133"/>
      <c r="C93" s="133"/>
      <c r="D93" s="94" t="s">
        <v>193</v>
      </c>
      <c r="E93" s="56">
        <v>1</v>
      </c>
      <c r="F93" s="133"/>
      <c r="G93" s="133"/>
      <c r="H93" s="133"/>
      <c r="I93" s="133"/>
      <c r="J93" s="133"/>
      <c r="K93" s="133"/>
      <c r="L93" s="133"/>
      <c r="M93" s="133"/>
      <c r="N93" s="137"/>
      <c r="O93" s="137"/>
    </row>
    <row r="94" spans="1:15" ht="38.25" customHeight="1">
      <c r="A94" s="133"/>
      <c r="B94" s="129"/>
      <c r="C94" s="129"/>
      <c r="D94" s="94" t="s">
        <v>194</v>
      </c>
      <c r="E94" s="56">
        <v>0</v>
      </c>
      <c r="F94" s="129"/>
      <c r="G94" s="129"/>
      <c r="H94" s="129"/>
      <c r="I94" s="129"/>
      <c r="J94" s="129"/>
      <c r="K94" s="129"/>
      <c r="L94" s="129"/>
      <c r="M94" s="129"/>
      <c r="N94" s="137"/>
      <c r="O94" s="137"/>
    </row>
    <row r="95" spans="1:15" ht="72">
      <c r="A95" s="133"/>
      <c r="B95" s="149" t="s">
        <v>15</v>
      </c>
      <c r="C95" s="150" t="s">
        <v>195</v>
      </c>
      <c r="D95" s="55" t="s">
        <v>196</v>
      </c>
      <c r="E95" s="56">
        <v>3</v>
      </c>
      <c r="F95" s="142"/>
      <c r="G95" s="142">
        <v>0.75</v>
      </c>
      <c r="H95" s="134">
        <f>G95/$G$95</f>
        <v>1</v>
      </c>
      <c r="I95" s="134">
        <f>F95/3</f>
        <v>0</v>
      </c>
      <c r="J95" s="134">
        <f>I95*H95</f>
        <v>0</v>
      </c>
      <c r="K95" s="147" t="s">
        <v>197</v>
      </c>
      <c r="L95" s="132" t="s">
        <v>198</v>
      </c>
      <c r="M95" s="132" t="s">
        <v>199</v>
      </c>
      <c r="N95" s="145" t="s">
        <v>200</v>
      </c>
      <c r="O95" s="144" t="s">
        <v>201</v>
      </c>
    </row>
    <row r="96" spans="1:15" ht="57.6">
      <c r="A96" s="133"/>
      <c r="B96" s="133"/>
      <c r="C96" s="133"/>
      <c r="D96" s="55" t="s">
        <v>202</v>
      </c>
      <c r="E96" s="56">
        <v>2</v>
      </c>
      <c r="F96" s="133"/>
      <c r="G96" s="133"/>
      <c r="H96" s="133"/>
      <c r="I96" s="133"/>
      <c r="J96" s="133"/>
      <c r="K96" s="133"/>
      <c r="L96" s="133"/>
      <c r="M96" s="133"/>
      <c r="N96" s="137"/>
      <c r="O96" s="137"/>
    </row>
    <row r="97" spans="1:15" ht="30" customHeight="1">
      <c r="A97" s="133"/>
      <c r="B97" s="133"/>
      <c r="C97" s="133"/>
      <c r="D97" s="55" t="s">
        <v>203</v>
      </c>
      <c r="E97" s="56">
        <v>1</v>
      </c>
      <c r="F97" s="133"/>
      <c r="G97" s="133"/>
      <c r="H97" s="133"/>
      <c r="I97" s="133"/>
      <c r="J97" s="133"/>
      <c r="K97" s="133"/>
      <c r="L97" s="133"/>
      <c r="M97" s="133"/>
      <c r="N97" s="137"/>
      <c r="O97" s="137"/>
    </row>
    <row r="98" spans="1:15" ht="15.75" customHeight="1">
      <c r="A98" s="129"/>
      <c r="B98" s="129"/>
      <c r="C98" s="129"/>
      <c r="D98" s="55" t="s">
        <v>204</v>
      </c>
      <c r="E98" s="56">
        <v>0</v>
      </c>
      <c r="F98" s="129"/>
      <c r="G98" s="129"/>
      <c r="H98" s="129"/>
      <c r="I98" s="129"/>
      <c r="J98" s="129"/>
      <c r="K98" s="129"/>
      <c r="L98" s="129"/>
      <c r="M98" s="129"/>
      <c r="N98" s="137"/>
      <c r="O98" s="137"/>
    </row>
    <row r="99" spans="1:15" ht="15.75" customHeight="1">
      <c r="A99" s="47">
        <v>13</v>
      </c>
      <c r="B99" s="48" t="s">
        <v>205</v>
      </c>
      <c r="C99" s="49"/>
      <c r="D99" s="64"/>
      <c r="E99" s="95"/>
      <c r="F99" s="52"/>
      <c r="G99" s="52"/>
      <c r="H99" s="53">
        <f>H100</f>
        <v>1.3333333333333333</v>
      </c>
      <c r="I99" s="53"/>
      <c r="J99" s="53">
        <f>J100</f>
        <v>0</v>
      </c>
      <c r="K99" s="54"/>
      <c r="L99" s="32"/>
      <c r="M99" s="93"/>
      <c r="N99" s="33"/>
      <c r="O99" s="33"/>
    </row>
    <row r="100" spans="1:15" ht="72">
      <c r="A100" s="149"/>
      <c r="B100" s="149" t="s">
        <v>8</v>
      </c>
      <c r="C100" s="150" t="s">
        <v>206</v>
      </c>
      <c r="D100" s="55" t="s">
        <v>207</v>
      </c>
      <c r="E100" s="56">
        <v>3</v>
      </c>
      <c r="F100" s="142"/>
      <c r="G100" s="142">
        <v>1</v>
      </c>
      <c r="H100" s="134">
        <f>G100/$G$95</f>
        <v>1.3333333333333333</v>
      </c>
      <c r="I100" s="134">
        <f>F100/3</f>
        <v>0</v>
      </c>
      <c r="J100" s="134">
        <f>I100*H100</f>
        <v>0</v>
      </c>
      <c r="K100" s="140" t="s">
        <v>208</v>
      </c>
      <c r="L100" s="135" t="s">
        <v>209</v>
      </c>
      <c r="M100" s="148" t="s">
        <v>210</v>
      </c>
      <c r="N100" s="136" t="s">
        <v>211</v>
      </c>
      <c r="O100" s="144" t="s">
        <v>212</v>
      </c>
    </row>
    <row r="101" spans="1:15" ht="72">
      <c r="A101" s="133"/>
      <c r="B101" s="133"/>
      <c r="C101" s="133"/>
      <c r="D101" s="55" t="s">
        <v>213</v>
      </c>
      <c r="E101" s="56">
        <v>2</v>
      </c>
      <c r="F101" s="133"/>
      <c r="G101" s="133"/>
      <c r="H101" s="133"/>
      <c r="I101" s="133"/>
      <c r="J101" s="133"/>
      <c r="K101" s="133"/>
      <c r="L101" s="133"/>
      <c r="M101" s="133"/>
      <c r="N101" s="137"/>
      <c r="O101" s="137"/>
    </row>
    <row r="102" spans="1:15" ht="28.8">
      <c r="A102" s="133"/>
      <c r="B102" s="133"/>
      <c r="C102" s="133"/>
      <c r="D102" s="55" t="s">
        <v>214</v>
      </c>
      <c r="E102" s="56">
        <v>1</v>
      </c>
      <c r="F102" s="133"/>
      <c r="G102" s="133"/>
      <c r="H102" s="133"/>
      <c r="I102" s="133"/>
      <c r="J102" s="133"/>
      <c r="K102" s="133"/>
      <c r="L102" s="133"/>
      <c r="M102" s="133"/>
      <c r="N102" s="137"/>
      <c r="O102" s="137"/>
    </row>
    <row r="103" spans="1:15" ht="15.75" customHeight="1">
      <c r="A103" s="129"/>
      <c r="B103" s="129"/>
      <c r="C103" s="129"/>
      <c r="D103" s="55" t="s">
        <v>215</v>
      </c>
      <c r="E103" s="56">
        <v>0</v>
      </c>
      <c r="F103" s="129"/>
      <c r="G103" s="129"/>
      <c r="H103" s="129"/>
      <c r="I103" s="129"/>
      <c r="J103" s="129"/>
      <c r="K103" s="129"/>
      <c r="L103" s="129"/>
      <c r="M103" s="129"/>
      <c r="N103" s="137"/>
      <c r="O103" s="137"/>
    </row>
    <row r="104" spans="1:15" ht="15.75" customHeight="1">
      <c r="A104" s="47">
        <v>14</v>
      </c>
      <c r="B104" s="48" t="s">
        <v>216</v>
      </c>
      <c r="C104" s="96"/>
      <c r="D104" s="96"/>
      <c r="E104" s="97"/>
      <c r="F104" s="97"/>
      <c r="G104" s="97"/>
      <c r="H104" s="98">
        <f>H106+H108</f>
        <v>2.6666666666666665</v>
      </c>
      <c r="I104" s="98"/>
      <c r="J104" s="98">
        <f>J106+J108</f>
        <v>0</v>
      </c>
      <c r="K104" s="99"/>
      <c r="L104" s="81"/>
      <c r="M104" s="84"/>
      <c r="N104" s="78"/>
      <c r="O104" s="78"/>
    </row>
    <row r="105" spans="1:15" ht="51" customHeight="1">
      <c r="A105" s="166"/>
      <c r="B105" s="79" t="s">
        <v>8</v>
      </c>
      <c r="C105" s="100" t="s">
        <v>217</v>
      </c>
      <c r="E105" s="56"/>
      <c r="F105" s="65"/>
      <c r="G105" s="65"/>
      <c r="H105" s="101"/>
      <c r="I105" s="101"/>
      <c r="J105" s="101"/>
      <c r="K105" s="85" t="s">
        <v>218</v>
      </c>
      <c r="L105" s="81"/>
      <c r="M105" s="102" t="s">
        <v>219</v>
      </c>
    </row>
    <row r="106" spans="1:15" ht="14.4">
      <c r="A106" s="133"/>
      <c r="B106" s="154">
        <v>1</v>
      </c>
      <c r="C106" s="155" t="s">
        <v>220</v>
      </c>
      <c r="D106" s="55" t="s">
        <v>49</v>
      </c>
      <c r="E106" s="65">
        <v>1</v>
      </c>
      <c r="F106" s="142"/>
      <c r="G106" s="142">
        <v>1</v>
      </c>
      <c r="H106" s="134">
        <f>G106/$G$95</f>
        <v>1.3333333333333333</v>
      </c>
      <c r="I106" s="134">
        <f>F106</f>
        <v>0</v>
      </c>
      <c r="J106" s="134">
        <f>I106*H106</f>
        <v>0</v>
      </c>
      <c r="K106" s="140" t="s">
        <v>221</v>
      </c>
      <c r="L106" s="135" t="s">
        <v>221</v>
      </c>
      <c r="M106" s="102"/>
      <c r="N106" s="136" t="s">
        <v>222</v>
      </c>
      <c r="O106" s="145" t="s">
        <v>223</v>
      </c>
    </row>
    <row r="107" spans="1:15" ht="45" customHeight="1">
      <c r="A107" s="133"/>
      <c r="B107" s="129"/>
      <c r="C107" s="129"/>
      <c r="D107" s="55" t="s">
        <v>51</v>
      </c>
      <c r="E107" s="65">
        <v>0</v>
      </c>
      <c r="F107" s="129"/>
      <c r="G107" s="129"/>
      <c r="H107" s="129"/>
      <c r="I107" s="129"/>
      <c r="J107" s="129"/>
      <c r="K107" s="129"/>
      <c r="L107" s="129"/>
      <c r="M107" s="102"/>
      <c r="N107" s="137"/>
      <c r="O107" s="137"/>
    </row>
    <row r="108" spans="1:15" ht="49.5" customHeight="1">
      <c r="A108" s="133"/>
      <c r="B108" s="154">
        <v>2</v>
      </c>
      <c r="C108" s="155" t="s">
        <v>224</v>
      </c>
      <c r="D108" s="55" t="s">
        <v>225</v>
      </c>
      <c r="E108" s="65">
        <v>3</v>
      </c>
      <c r="F108" s="142"/>
      <c r="G108" s="142">
        <v>1</v>
      </c>
      <c r="H108" s="134">
        <f>G108/$G$95</f>
        <v>1.3333333333333333</v>
      </c>
      <c r="I108" s="134">
        <f>F108</f>
        <v>0</v>
      </c>
      <c r="J108" s="134">
        <f>I108*H108</f>
        <v>0</v>
      </c>
      <c r="K108" s="140" t="s">
        <v>226</v>
      </c>
      <c r="L108" s="135" t="s">
        <v>227</v>
      </c>
      <c r="M108" s="165" t="s">
        <v>228</v>
      </c>
      <c r="N108" s="136" t="s">
        <v>229</v>
      </c>
      <c r="O108" s="145" t="s">
        <v>230</v>
      </c>
    </row>
    <row r="109" spans="1:15" ht="44.25" customHeight="1">
      <c r="A109" s="133"/>
      <c r="B109" s="133"/>
      <c r="C109" s="133"/>
      <c r="D109" s="55" t="s">
        <v>231</v>
      </c>
      <c r="E109" s="4">
        <v>2</v>
      </c>
      <c r="F109" s="129"/>
      <c r="G109" s="129"/>
      <c r="H109" s="129"/>
      <c r="I109" s="129"/>
      <c r="J109" s="129"/>
      <c r="K109" s="133"/>
      <c r="L109" s="129"/>
      <c r="M109" s="129"/>
      <c r="N109" s="137"/>
      <c r="O109" s="137"/>
    </row>
    <row r="110" spans="1:15" ht="57" customHeight="1">
      <c r="A110" s="133"/>
      <c r="B110" s="133"/>
      <c r="C110" s="133"/>
      <c r="D110" s="55" t="s">
        <v>232</v>
      </c>
      <c r="E110" s="65">
        <v>1</v>
      </c>
      <c r="F110" s="65"/>
      <c r="G110" s="65"/>
      <c r="H110" s="101"/>
      <c r="I110" s="101"/>
      <c r="J110" s="101"/>
      <c r="K110" s="133"/>
      <c r="L110" s="81"/>
      <c r="M110" s="103"/>
      <c r="N110" s="68"/>
      <c r="O110" s="33"/>
    </row>
    <row r="111" spans="1:15" ht="30.75" customHeight="1">
      <c r="A111" s="129"/>
      <c r="B111" s="129"/>
      <c r="C111" s="129"/>
      <c r="D111" s="55" t="s">
        <v>233</v>
      </c>
      <c r="E111" s="15">
        <v>0</v>
      </c>
      <c r="F111" s="65"/>
      <c r="G111" s="65"/>
      <c r="H111" s="101"/>
      <c r="I111" s="101"/>
      <c r="J111" s="101"/>
      <c r="K111" s="129"/>
      <c r="L111" s="81"/>
      <c r="M111" s="103"/>
      <c r="N111" s="68"/>
      <c r="O111" s="33"/>
    </row>
    <row r="112" spans="1:15" ht="14.4">
      <c r="A112" s="104"/>
      <c r="C112" s="3"/>
      <c r="E112" s="4"/>
      <c r="L112" s="1"/>
      <c r="M112" s="1"/>
    </row>
    <row r="113" spans="1:15" ht="30" customHeight="1">
      <c r="A113" s="5" t="s">
        <v>234</v>
      </c>
      <c r="B113" s="6"/>
      <c r="C113" s="7"/>
      <c r="D113" s="6"/>
      <c r="E113" s="8"/>
      <c r="F113" s="6"/>
      <c r="G113" s="6"/>
      <c r="H113" s="6"/>
      <c r="I113" s="6"/>
      <c r="J113" s="6"/>
      <c r="K113" s="6"/>
      <c r="L113" s="6"/>
      <c r="M113" s="6"/>
      <c r="N113" s="6"/>
      <c r="O113" s="6"/>
    </row>
    <row r="114" spans="1:15" ht="14.4">
      <c r="A114" s="105"/>
      <c r="B114" s="105"/>
      <c r="C114" s="19" t="s">
        <v>19</v>
      </c>
      <c r="D114" s="19" t="s">
        <v>20</v>
      </c>
      <c r="E114" s="20" t="s">
        <v>21</v>
      </c>
      <c r="F114" s="20"/>
      <c r="G114" s="20" t="s">
        <v>235</v>
      </c>
      <c r="H114" s="20" t="s">
        <v>22</v>
      </c>
      <c r="I114" s="20" t="s">
        <v>22</v>
      </c>
      <c r="J114" s="20" t="s">
        <v>236</v>
      </c>
      <c r="K114" s="20" t="s">
        <v>25</v>
      </c>
      <c r="M114" s="106"/>
      <c r="N114" s="106"/>
      <c r="O114" s="106"/>
    </row>
    <row r="115" spans="1:15" ht="14.4">
      <c r="A115" s="24" t="s">
        <v>237</v>
      </c>
      <c r="B115" s="24"/>
      <c r="C115" s="26"/>
      <c r="D115" s="26"/>
      <c r="E115" s="29"/>
      <c r="F115" s="29"/>
      <c r="G115" s="29"/>
      <c r="H115" s="29"/>
      <c r="I115" s="30">
        <f>I116+I119+I133</f>
        <v>0.64516129032258063</v>
      </c>
      <c r="J115" s="30"/>
      <c r="K115" s="31"/>
      <c r="M115" s="33"/>
      <c r="N115" s="33"/>
      <c r="O115" s="33"/>
    </row>
    <row r="116" spans="1:15" ht="14.4">
      <c r="A116" s="47">
        <v>15</v>
      </c>
      <c r="B116" s="107" t="s">
        <v>238</v>
      </c>
      <c r="C116" s="49"/>
      <c r="D116" s="49"/>
      <c r="E116" s="52"/>
      <c r="F116" s="52"/>
      <c r="G116" s="52"/>
      <c r="H116" s="52"/>
      <c r="I116" s="53">
        <f>I117</f>
        <v>6.4516129032258063E-2</v>
      </c>
      <c r="J116" s="53"/>
      <c r="K116" s="54"/>
      <c r="M116" s="33"/>
      <c r="N116" s="33"/>
      <c r="O116" s="33"/>
    </row>
    <row r="117" spans="1:15" ht="14.4">
      <c r="A117" s="149"/>
      <c r="B117" s="149" t="s">
        <v>8</v>
      </c>
      <c r="C117" s="150" t="s">
        <v>239</v>
      </c>
      <c r="D117" s="55" t="s">
        <v>240</v>
      </c>
      <c r="E117" s="65">
        <v>1</v>
      </c>
      <c r="F117" s="142"/>
      <c r="G117" s="142">
        <f>IF(F117=1,4,1)</f>
        <v>1</v>
      </c>
      <c r="H117" s="142">
        <v>0.5</v>
      </c>
      <c r="I117" s="134">
        <f>H117/7.75</f>
        <v>6.4516129032258063E-2</v>
      </c>
      <c r="J117" s="134">
        <f>(F117-0)/1</f>
        <v>0</v>
      </c>
      <c r="K117" s="163" t="s">
        <v>241</v>
      </c>
      <c r="M117" s="145" t="s">
        <v>36</v>
      </c>
      <c r="N117" s="145" t="s">
        <v>242</v>
      </c>
    </row>
    <row r="118" spans="1:15" ht="14.4">
      <c r="A118" s="129"/>
      <c r="B118" s="129"/>
      <c r="C118" s="129"/>
      <c r="D118" s="55" t="s">
        <v>243</v>
      </c>
      <c r="E118" s="65">
        <v>0</v>
      </c>
      <c r="F118" s="129"/>
      <c r="G118" s="129"/>
      <c r="H118" s="129"/>
      <c r="I118" s="129"/>
      <c r="J118" s="129"/>
      <c r="K118" s="129"/>
      <c r="M118" s="137"/>
      <c r="N118" s="137"/>
    </row>
    <row r="119" spans="1:15" ht="14.4">
      <c r="A119" s="47">
        <v>16</v>
      </c>
      <c r="B119" s="107" t="s">
        <v>244</v>
      </c>
      <c r="C119" s="49"/>
      <c r="D119" s="49"/>
      <c r="E119" s="52"/>
      <c r="F119" s="52"/>
      <c r="G119" s="52"/>
      <c r="H119" s="52"/>
      <c r="I119" s="53">
        <f>SUM(I120:I132)</f>
        <v>0.38709677419354838</v>
      </c>
      <c r="J119" s="53"/>
      <c r="K119" s="54"/>
      <c r="M119" s="33"/>
      <c r="N119" s="33"/>
      <c r="O119" s="33"/>
    </row>
    <row r="120" spans="1:15" ht="14.4">
      <c r="A120" s="149"/>
      <c r="B120" s="149" t="s">
        <v>8</v>
      </c>
      <c r="C120" s="150" t="s">
        <v>245</v>
      </c>
      <c r="D120" s="55" t="s">
        <v>49</v>
      </c>
      <c r="E120" s="65">
        <v>1</v>
      </c>
      <c r="F120" s="142"/>
      <c r="G120" s="142">
        <f>IF(F120=1,4,1)</f>
        <v>1</v>
      </c>
      <c r="H120" s="142">
        <v>0.5</v>
      </c>
      <c r="I120" s="134">
        <f>H120/7.75</f>
        <v>6.4516129032258063E-2</v>
      </c>
      <c r="J120" s="134">
        <f>(F120-0)/1</f>
        <v>0</v>
      </c>
      <c r="K120" s="140" t="s">
        <v>246</v>
      </c>
      <c r="M120" s="145" t="s">
        <v>45</v>
      </c>
      <c r="N120" s="145" t="s">
        <v>46</v>
      </c>
    </row>
    <row r="121" spans="1:15" ht="14.4">
      <c r="A121" s="133"/>
      <c r="B121" s="129"/>
      <c r="C121" s="129"/>
      <c r="D121" s="55" t="s">
        <v>51</v>
      </c>
      <c r="E121" s="65">
        <v>0</v>
      </c>
      <c r="F121" s="129"/>
      <c r="G121" s="129"/>
      <c r="H121" s="129"/>
      <c r="I121" s="129"/>
      <c r="J121" s="129"/>
      <c r="K121" s="133"/>
      <c r="M121" s="137"/>
      <c r="N121" s="137"/>
    </row>
    <row r="122" spans="1:15" ht="14.4">
      <c r="A122" s="133"/>
      <c r="B122" s="149" t="s">
        <v>15</v>
      </c>
      <c r="C122" s="55" t="s">
        <v>247</v>
      </c>
      <c r="D122" s="55"/>
      <c r="E122" s="65"/>
      <c r="F122" s="65"/>
      <c r="G122" s="108"/>
      <c r="H122" s="108"/>
      <c r="I122" s="109"/>
      <c r="J122" s="109"/>
      <c r="K122" s="133"/>
    </row>
    <row r="123" spans="1:15" ht="14.4">
      <c r="A123" s="133"/>
      <c r="B123" s="133"/>
      <c r="C123" s="150" t="s">
        <v>248</v>
      </c>
      <c r="D123" s="55" t="s">
        <v>49</v>
      </c>
      <c r="E123" s="65">
        <v>1</v>
      </c>
      <c r="F123" s="142"/>
      <c r="G123" s="142">
        <f>IF(F123=1,4,1)</f>
        <v>1</v>
      </c>
      <c r="H123" s="142">
        <v>0.5</v>
      </c>
      <c r="I123" s="134">
        <f>H123/7.75</f>
        <v>6.4516129032258063E-2</v>
      </c>
      <c r="J123" s="134">
        <f>(F123-0)/1</f>
        <v>0</v>
      </c>
      <c r="K123" s="133"/>
      <c r="M123" s="145" t="s">
        <v>249</v>
      </c>
      <c r="N123" s="136" t="s">
        <v>250</v>
      </c>
    </row>
    <row r="124" spans="1:15" ht="14.4">
      <c r="A124" s="133"/>
      <c r="B124" s="133"/>
      <c r="C124" s="129"/>
      <c r="D124" s="55" t="s">
        <v>51</v>
      </c>
      <c r="E124" s="65">
        <v>0</v>
      </c>
      <c r="F124" s="129"/>
      <c r="G124" s="129"/>
      <c r="H124" s="129"/>
      <c r="I124" s="129"/>
      <c r="J124" s="129"/>
      <c r="K124" s="133"/>
      <c r="M124" s="137"/>
      <c r="N124" s="137"/>
    </row>
    <row r="125" spans="1:15" ht="14.4">
      <c r="A125" s="133"/>
      <c r="B125" s="133"/>
      <c r="C125" s="150" t="s">
        <v>251</v>
      </c>
      <c r="D125" s="55" t="s">
        <v>49</v>
      </c>
      <c r="E125" s="65">
        <v>1</v>
      </c>
      <c r="F125" s="142"/>
      <c r="G125" s="142">
        <f>IF(F125=1,4,1)</f>
        <v>1</v>
      </c>
      <c r="H125" s="142">
        <v>0.5</v>
      </c>
      <c r="I125" s="134">
        <f>H125/7.75</f>
        <v>6.4516129032258063E-2</v>
      </c>
      <c r="J125" s="134">
        <f>(F125-0)/1</f>
        <v>0</v>
      </c>
      <c r="K125" s="133"/>
      <c r="M125" s="145" t="s">
        <v>252</v>
      </c>
      <c r="N125" s="136" t="s">
        <v>253</v>
      </c>
    </row>
    <row r="126" spans="1:15" ht="14.4">
      <c r="A126" s="133"/>
      <c r="B126" s="133"/>
      <c r="C126" s="129"/>
      <c r="D126" s="55" t="s">
        <v>51</v>
      </c>
      <c r="E126" s="65">
        <v>0</v>
      </c>
      <c r="F126" s="129"/>
      <c r="G126" s="129"/>
      <c r="H126" s="129"/>
      <c r="I126" s="129"/>
      <c r="J126" s="129"/>
      <c r="K126" s="133"/>
      <c r="M126" s="137"/>
      <c r="N126" s="137"/>
    </row>
    <row r="127" spans="1:15" ht="14.4">
      <c r="A127" s="133"/>
      <c r="B127" s="133"/>
      <c r="C127" s="150" t="s">
        <v>254</v>
      </c>
      <c r="D127" s="55" t="s">
        <v>49</v>
      </c>
      <c r="E127" s="65">
        <v>1</v>
      </c>
      <c r="F127" s="142"/>
      <c r="G127" s="142">
        <f>IF(F127=1,4,1)</f>
        <v>1</v>
      </c>
      <c r="H127" s="142">
        <v>0.5</v>
      </c>
      <c r="I127" s="134">
        <f>H127/7.75</f>
        <v>6.4516129032258063E-2</v>
      </c>
      <c r="J127" s="134">
        <f>(F127-0)/1</f>
        <v>0</v>
      </c>
      <c r="K127" s="133"/>
      <c r="M127" s="145" t="s">
        <v>255</v>
      </c>
      <c r="N127" s="136" t="s">
        <v>256</v>
      </c>
    </row>
    <row r="128" spans="1:15" ht="14.4">
      <c r="A128" s="133"/>
      <c r="B128" s="133"/>
      <c r="C128" s="129"/>
      <c r="D128" s="55" t="s">
        <v>51</v>
      </c>
      <c r="E128" s="65">
        <v>0</v>
      </c>
      <c r="F128" s="129"/>
      <c r="G128" s="129"/>
      <c r="H128" s="129"/>
      <c r="I128" s="129"/>
      <c r="J128" s="129"/>
      <c r="K128" s="133"/>
      <c r="M128" s="137"/>
      <c r="N128" s="137"/>
    </row>
    <row r="129" spans="1:15" ht="14.4">
      <c r="A129" s="133"/>
      <c r="B129" s="133"/>
      <c r="C129" s="150" t="s">
        <v>257</v>
      </c>
      <c r="D129" s="55" t="s">
        <v>49</v>
      </c>
      <c r="E129" s="65">
        <v>1</v>
      </c>
      <c r="F129" s="142"/>
      <c r="G129" s="142">
        <f>IF(F129=1,4,1)</f>
        <v>1</v>
      </c>
      <c r="H129" s="142">
        <v>0.5</v>
      </c>
      <c r="I129" s="134">
        <f>H129/7.75</f>
        <v>6.4516129032258063E-2</v>
      </c>
      <c r="J129" s="134">
        <f>(F129-0)/1</f>
        <v>0</v>
      </c>
      <c r="K129" s="133"/>
      <c r="M129" s="145" t="s">
        <v>258</v>
      </c>
      <c r="N129" s="136" t="s">
        <v>259</v>
      </c>
    </row>
    <row r="130" spans="1:15" ht="14.4">
      <c r="A130" s="133"/>
      <c r="B130" s="133"/>
      <c r="C130" s="129"/>
      <c r="D130" s="55" t="s">
        <v>51</v>
      </c>
      <c r="E130" s="65">
        <v>0</v>
      </c>
      <c r="F130" s="129"/>
      <c r="G130" s="129"/>
      <c r="H130" s="129"/>
      <c r="I130" s="129"/>
      <c r="J130" s="129"/>
      <c r="K130" s="133"/>
      <c r="M130" s="137"/>
      <c r="N130" s="137"/>
    </row>
    <row r="131" spans="1:15" ht="14.4">
      <c r="A131" s="133"/>
      <c r="B131" s="133"/>
      <c r="C131" s="150" t="s">
        <v>260</v>
      </c>
      <c r="D131" s="55" t="s">
        <v>49</v>
      </c>
      <c r="E131" s="65">
        <v>1</v>
      </c>
      <c r="F131" s="142"/>
      <c r="G131" s="142">
        <f>IF(F131=1,4,1)</f>
        <v>1</v>
      </c>
      <c r="H131" s="142">
        <v>0.5</v>
      </c>
      <c r="I131" s="134">
        <f>H131/7.75</f>
        <v>6.4516129032258063E-2</v>
      </c>
      <c r="J131" s="134">
        <f>(F131-0)/1</f>
        <v>0</v>
      </c>
      <c r="K131" s="133"/>
      <c r="M131" s="145" t="s">
        <v>261</v>
      </c>
      <c r="N131" s="136" t="s">
        <v>262</v>
      </c>
    </row>
    <row r="132" spans="1:15" ht="14.4">
      <c r="A132" s="129"/>
      <c r="B132" s="129"/>
      <c r="C132" s="129"/>
      <c r="D132" s="55" t="s">
        <v>51</v>
      </c>
      <c r="E132" s="65">
        <v>0</v>
      </c>
      <c r="F132" s="129"/>
      <c r="G132" s="129"/>
      <c r="H132" s="129"/>
      <c r="I132" s="129"/>
      <c r="J132" s="129"/>
      <c r="K132" s="129"/>
      <c r="M132" s="137"/>
      <c r="N132" s="137"/>
    </row>
    <row r="133" spans="1:15" ht="14.4">
      <c r="A133" s="47">
        <v>17</v>
      </c>
      <c r="B133" s="107" t="s">
        <v>263</v>
      </c>
      <c r="C133" s="49"/>
      <c r="D133" s="49"/>
      <c r="E133" s="52"/>
      <c r="F133" s="52"/>
      <c r="G133" s="52"/>
      <c r="H133" s="52"/>
      <c r="I133" s="53">
        <f>SUM(I134:I137)</f>
        <v>0.19354838709677419</v>
      </c>
      <c r="J133" s="53"/>
      <c r="K133" s="54"/>
      <c r="M133" s="33"/>
      <c r="N133" s="33"/>
      <c r="O133" s="33"/>
    </row>
    <row r="134" spans="1:15" ht="14.4">
      <c r="A134" s="149"/>
      <c r="B134" s="149" t="s">
        <v>8</v>
      </c>
      <c r="C134" s="150" t="s">
        <v>264</v>
      </c>
      <c r="D134" s="55" t="s">
        <v>265</v>
      </c>
      <c r="E134" s="65">
        <v>1</v>
      </c>
      <c r="F134" s="142"/>
      <c r="G134" s="142">
        <f>IF(F134=1,4,1)</f>
        <v>1</v>
      </c>
      <c r="H134" s="142">
        <v>0.5</v>
      </c>
      <c r="I134" s="134">
        <f>H134/7.75</f>
        <v>6.4516129032258063E-2</v>
      </c>
      <c r="J134" s="134">
        <f>(F134-0)/1</f>
        <v>0</v>
      </c>
      <c r="K134" s="164" t="s">
        <v>266</v>
      </c>
      <c r="M134" s="136" t="s">
        <v>267</v>
      </c>
      <c r="N134" s="145" t="s">
        <v>268</v>
      </c>
    </row>
    <row r="135" spans="1:15" ht="42.75" customHeight="1">
      <c r="A135" s="133"/>
      <c r="B135" s="129"/>
      <c r="C135" s="129"/>
      <c r="D135" s="55" t="s">
        <v>269</v>
      </c>
      <c r="E135" s="65">
        <v>0</v>
      </c>
      <c r="F135" s="129"/>
      <c r="G135" s="129"/>
      <c r="H135" s="129"/>
      <c r="I135" s="129"/>
      <c r="J135" s="129"/>
      <c r="K135" s="129"/>
      <c r="M135" s="137"/>
      <c r="N135" s="137"/>
    </row>
    <row r="136" spans="1:15" ht="14.4">
      <c r="A136" s="133"/>
      <c r="B136" s="149" t="s">
        <v>15</v>
      </c>
      <c r="C136" s="150" t="s">
        <v>270</v>
      </c>
      <c r="D136" s="55" t="s">
        <v>49</v>
      </c>
      <c r="E136" s="65">
        <v>1</v>
      </c>
      <c r="F136" s="142"/>
      <c r="G136" s="142">
        <f>IF(F136=1,4,1)</f>
        <v>1</v>
      </c>
      <c r="H136" s="142">
        <v>1</v>
      </c>
      <c r="I136" s="134">
        <f>H136/7.75</f>
        <v>0.12903225806451613</v>
      </c>
      <c r="J136" s="134">
        <f>(F136-0)/1</f>
        <v>0</v>
      </c>
      <c r="K136" s="164" t="s">
        <v>271</v>
      </c>
      <c r="M136" s="136" t="s">
        <v>272</v>
      </c>
      <c r="N136" s="145" t="s">
        <v>268</v>
      </c>
    </row>
    <row r="137" spans="1:15" ht="44.25" customHeight="1">
      <c r="A137" s="129"/>
      <c r="B137" s="129"/>
      <c r="C137" s="133"/>
      <c r="D137" s="55" t="s">
        <v>51</v>
      </c>
      <c r="E137" s="65">
        <v>0</v>
      </c>
      <c r="F137" s="129"/>
      <c r="G137" s="129"/>
      <c r="H137" s="129"/>
      <c r="I137" s="129"/>
      <c r="J137" s="129"/>
      <c r="K137" s="129"/>
      <c r="M137" s="137"/>
      <c r="N137" s="137"/>
    </row>
    <row r="138" spans="1:15" ht="14.4">
      <c r="A138" s="24" t="s">
        <v>273</v>
      </c>
      <c r="B138" s="24"/>
      <c r="C138" s="26"/>
      <c r="D138" s="26"/>
      <c r="E138" s="29"/>
      <c r="F138" s="29"/>
      <c r="G138" s="29"/>
      <c r="H138" s="29"/>
      <c r="I138" s="30">
        <f>I139+I144</f>
        <v>0.22580645161290322</v>
      </c>
      <c r="J138" s="30"/>
      <c r="K138" s="31"/>
      <c r="M138" s="33"/>
      <c r="N138" s="33"/>
      <c r="O138" s="33"/>
    </row>
    <row r="139" spans="1:15" ht="14.4">
      <c r="A139" s="34">
        <v>18</v>
      </c>
      <c r="B139" s="110" t="s">
        <v>274</v>
      </c>
      <c r="C139" s="36"/>
      <c r="D139" s="36"/>
      <c r="E139" s="39"/>
      <c r="F139" s="39"/>
      <c r="G139" s="39"/>
      <c r="H139" s="39"/>
      <c r="I139" s="40">
        <f>I140</f>
        <v>9.6774193548387094E-2</v>
      </c>
      <c r="J139" s="40"/>
      <c r="K139" s="41"/>
      <c r="M139" s="33"/>
      <c r="N139" s="33"/>
      <c r="O139" s="33"/>
    </row>
    <row r="140" spans="1:15" ht="57" customHeight="1">
      <c r="A140" s="151"/>
      <c r="B140" s="151" t="s">
        <v>8</v>
      </c>
      <c r="C140" s="161" t="s">
        <v>275</v>
      </c>
      <c r="D140" s="42" t="s">
        <v>276</v>
      </c>
      <c r="E140" s="86">
        <v>3</v>
      </c>
      <c r="F140" s="128"/>
      <c r="G140" s="128">
        <f>F140</f>
        <v>0</v>
      </c>
      <c r="H140" s="128">
        <v>0.75</v>
      </c>
      <c r="I140" s="130">
        <f>H140/7.75</f>
        <v>9.6774193548387094E-2</v>
      </c>
      <c r="J140" s="130">
        <f>(F140-0)/3</f>
        <v>0</v>
      </c>
      <c r="K140" s="131" t="s">
        <v>277</v>
      </c>
      <c r="M140" s="162" t="s">
        <v>59</v>
      </c>
      <c r="N140" s="162" t="s">
        <v>278</v>
      </c>
    </row>
    <row r="141" spans="1:15" ht="57" customHeight="1">
      <c r="A141" s="133"/>
      <c r="B141" s="133"/>
      <c r="C141" s="133"/>
      <c r="D141" s="42" t="s">
        <v>279</v>
      </c>
      <c r="E141" s="86">
        <v>2</v>
      </c>
      <c r="F141" s="133"/>
      <c r="G141" s="133"/>
      <c r="H141" s="133"/>
      <c r="I141" s="133"/>
      <c r="J141" s="133"/>
      <c r="K141" s="133"/>
      <c r="M141" s="133"/>
      <c r="N141" s="133"/>
      <c r="O141" s="111"/>
    </row>
    <row r="142" spans="1:15" ht="57" customHeight="1">
      <c r="A142" s="133"/>
      <c r="B142" s="133"/>
      <c r="C142" s="133"/>
      <c r="D142" s="42" t="s">
        <v>280</v>
      </c>
      <c r="E142" s="86">
        <v>1</v>
      </c>
      <c r="F142" s="133"/>
      <c r="G142" s="133"/>
      <c r="H142" s="133"/>
      <c r="I142" s="133"/>
      <c r="J142" s="133"/>
      <c r="K142" s="133"/>
      <c r="M142" s="133"/>
      <c r="N142" s="133"/>
      <c r="O142" s="111"/>
    </row>
    <row r="143" spans="1:15" ht="129" customHeight="1">
      <c r="A143" s="129"/>
      <c r="B143" s="129"/>
      <c r="C143" s="129"/>
      <c r="D143" s="42" t="s">
        <v>281</v>
      </c>
      <c r="E143" s="86">
        <v>0</v>
      </c>
      <c r="F143" s="129"/>
      <c r="G143" s="129"/>
      <c r="H143" s="129"/>
      <c r="I143" s="129"/>
      <c r="J143" s="129"/>
      <c r="K143" s="129"/>
      <c r="M143" s="129"/>
      <c r="N143" s="129"/>
      <c r="O143" s="111"/>
    </row>
    <row r="144" spans="1:15" ht="14.4">
      <c r="A144" s="47">
        <v>19</v>
      </c>
      <c r="B144" s="107" t="s">
        <v>282</v>
      </c>
      <c r="C144" s="49"/>
      <c r="D144" s="49"/>
      <c r="E144" s="52"/>
      <c r="F144" s="52"/>
      <c r="G144" s="52"/>
      <c r="H144" s="52"/>
      <c r="I144" s="53">
        <f>I145+I149</f>
        <v>0.12903225806451613</v>
      </c>
      <c r="J144" s="53"/>
      <c r="K144" s="54"/>
      <c r="M144" s="112"/>
      <c r="N144" s="112"/>
      <c r="O144" s="33"/>
    </row>
    <row r="145" spans="1:15" ht="28.8">
      <c r="A145" s="149"/>
      <c r="B145" s="149" t="s">
        <v>8</v>
      </c>
      <c r="C145" s="150" t="s">
        <v>283</v>
      </c>
      <c r="D145" s="113" t="s">
        <v>284</v>
      </c>
      <c r="E145" s="65">
        <v>3</v>
      </c>
      <c r="F145" s="142"/>
      <c r="G145" s="142">
        <f>F145</f>
        <v>0</v>
      </c>
      <c r="H145" s="142">
        <v>0.5</v>
      </c>
      <c r="I145" s="134">
        <f>H145/7.75</f>
        <v>6.4516129032258063E-2</v>
      </c>
      <c r="J145" s="134">
        <f>(F145-0)/3</f>
        <v>0</v>
      </c>
      <c r="K145" s="140" t="s">
        <v>285</v>
      </c>
      <c r="M145" s="162" t="s">
        <v>69</v>
      </c>
      <c r="N145" s="162" t="s">
        <v>286</v>
      </c>
    </row>
    <row r="146" spans="1:15" ht="43.2">
      <c r="A146" s="133"/>
      <c r="B146" s="133"/>
      <c r="C146" s="133"/>
      <c r="D146" s="113" t="s">
        <v>287</v>
      </c>
      <c r="E146" s="65">
        <v>2</v>
      </c>
      <c r="F146" s="133"/>
      <c r="G146" s="133"/>
      <c r="H146" s="133"/>
      <c r="I146" s="133"/>
      <c r="J146" s="133"/>
      <c r="K146" s="133"/>
      <c r="M146" s="133"/>
      <c r="N146" s="133"/>
    </row>
    <row r="147" spans="1:15" ht="28.8">
      <c r="A147" s="133"/>
      <c r="B147" s="133"/>
      <c r="C147" s="133"/>
      <c r="D147" s="113" t="s">
        <v>288</v>
      </c>
      <c r="E147" s="65">
        <v>1</v>
      </c>
      <c r="F147" s="133"/>
      <c r="G147" s="133"/>
      <c r="H147" s="133"/>
      <c r="I147" s="133"/>
      <c r="J147" s="133"/>
      <c r="K147" s="133"/>
      <c r="M147" s="133"/>
      <c r="N147" s="133"/>
    </row>
    <row r="148" spans="1:15" ht="14.4">
      <c r="A148" s="133"/>
      <c r="B148" s="129"/>
      <c r="C148" s="129"/>
      <c r="D148" s="55" t="s">
        <v>289</v>
      </c>
      <c r="E148" s="65">
        <v>0</v>
      </c>
      <c r="F148" s="129"/>
      <c r="G148" s="129"/>
      <c r="H148" s="129"/>
      <c r="I148" s="129"/>
      <c r="J148" s="129"/>
      <c r="K148" s="129"/>
      <c r="M148" s="129"/>
      <c r="N148" s="129"/>
    </row>
    <row r="149" spans="1:15" ht="28.8">
      <c r="A149" s="133"/>
      <c r="B149" s="149" t="s">
        <v>15</v>
      </c>
      <c r="C149" s="150" t="s">
        <v>290</v>
      </c>
      <c r="D149" s="55" t="s">
        <v>291</v>
      </c>
      <c r="E149" s="65">
        <v>3</v>
      </c>
      <c r="F149" s="142"/>
      <c r="G149" s="142">
        <f>F149</f>
        <v>0</v>
      </c>
      <c r="H149" s="142">
        <v>0.5</v>
      </c>
      <c r="I149" s="134">
        <f>H149/7.75</f>
        <v>6.4516129032258063E-2</v>
      </c>
      <c r="J149" s="134">
        <f>(F149-0)/3</f>
        <v>0</v>
      </c>
      <c r="K149" s="140" t="s">
        <v>292</v>
      </c>
      <c r="M149" s="162" t="s">
        <v>293</v>
      </c>
      <c r="N149" s="162" t="s">
        <v>294</v>
      </c>
    </row>
    <row r="150" spans="1:15" ht="14.4">
      <c r="A150" s="133"/>
      <c r="B150" s="133"/>
      <c r="C150" s="133"/>
      <c r="D150" s="55" t="s">
        <v>295</v>
      </c>
      <c r="E150" s="114">
        <v>2</v>
      </c>
      <c r="F150" s="133"/>
      <c r="G150" s="133"/>
      <c r="H150" s="133"/>
      <c r="I150" s="133"/>
      <c r="J150" s="133"/>
      <c r="K150" s="133"/>
      <c r="M150" s="133"/>
      <c r="N150" s="133"/>
      <c r="O150" s="115"/>
    </row>
    <row r="151" spans="1:15" ht="14.4">
      <c r="A151" s="133"/>
      <c r="B151" s="133"/>
      <c r="C151" s="133"/>
      <c r="D151" s="55" t="s">
        <v>296</v>
      </c>
      <c r="E151" s="114">
        <v>1</v>
      </c>
      <c r="F151" s="133"/>
      <c r="G151" s="133"/>
      <c r="H151" s="133"/>
      <c r="I151" s="133"/>
      <c r="J151" s="133"/>
      <c r="K151" s="133"/>
      <c r="M151" s="133"/>
      <c r="N151" s="133"/>
      <c r="O151" s="115"/>
    </row>
    <row r="152" spans="1:15" ht="14.4">
      <c r="A152" s="129"/>
      <c r="B152" s="129"/>
      <c r="C152" s="129"/>
      <c r="D152" s="55" t="s">
        <v>297</v>
      </c>
      <c r="E152" s="114">
        <v>0</v>
      </c>
      <c r="F152" s="129"/>
      <c r="G152" s="129"/>
      <c r="H152" s="129"/>
      <c r="I152" s="129"/>
      <c r="J152" s="129"/>
      <c r="K152" s="129"/>
      <c r="M152" s="129"/>
      <c r="N152" s="129"/>
      <c r="O152" s="115"/>
    </row>
    <row r="153" spans="1:15" ht="14.4">
      <c r="A153" s="24" t="s">
        <v>298</v>
      </c>
      <c r="B153" s="24"/>
      <c r="C153" s="26"/>
      <c r="D153" s="26"/>
      <c r="E153" s="29"/>
      <c r="F153" s="29"/>
      <c r="G153" s="29"/>
      <c r="H153" s="29"/>
      <c r="I153" s="30">
        <f>I154</f>
        <v>0.12903225806451613</v>
      </c>
      <c r="J153" s="30"/>
      <c r="K153" s="31"/>
      <c r="M153" s="33"/>
      <c r="N153" s="33"/>
      <c r="O153" s="33"/>
    </row>
    <row r="154" spans="1:15" ht="14.4">
      <c r="A154" s="47">
        <v>20</v>
      </c>
      <c r="B154" s="107" t="s">
        <v>299</v>
      </c>
      <c r="C154" s="64"/>
      <c r="D154" s="49"/>
      <c r="E154" s="52"/>
      <c r="F154" s="52"/>
      <c r="G154" s="52"/>
      <c r="H154" s="52"/>
      <c r="I154" s="53">
        <f>I159+I163</f>
        <v>0.12903225806451613</v>
      </c>
      <c r="J154" s="53"/>
      <c r="K154" s="54"/>
      <c r="M154" s="33"/>
      <c r="N154" s="33"/>
      <c r="O154" s="33"/>
    </row>
    <row r="155" spans="1:15" ht="28.8">
      <c r="A155" s="149"/>
      <c r="B155" s="79" t="s">
        <v>8</v>
      </c>
      <c r="C155" s="55" t="s">
        <v>300</v>
      </c>
      <c r="D155" s="55"/>
      <c r="E155" s="65"/>
      <c r="F155" s="65"/>
      <c r="G155" s="58"/>
      <c r="H155" s="58"/>
      <c r="I155" s="59"/>
      <c r="J155" s="59"/>
      <c r="K155" s="140" t="s">
        <v>301</v>
      </c>
    </row>
    <row r="156" spans="1:15" ht="14.4" hidden="1">
      <c r="A156" s="133"/>
      <c r="B156" s="149" t="s">
        <v>8</v>
      </c>
      <c r="C156" s="150" t="s">
        <v>302</v>
      </c>
      <c r="D156" s="55" t="s">
        <v>49</v>
      </c>
      <c r="E156" s="65">
        <v>1</v>
      </c>
      <c r="F156" s="142"/>
      <c r="G156" s="142">
        <f>IF(F156=1,4,1)</f>
        <v>1</v>
      </c>
      <c r="H156" s="65"/>
      <c r="I156" s="101"/>
      <c r="J156" s="101"/>
      <c r="K156" s="133"/>
    </row>
    <row r="157" spans="1:15" ht="35.25" hidden="1" customHeight="1">
      <c r="A157" s="133"/>
      <c r="B157" s="129"/>
      <c r="C157" s="129"/>
      <c r="D157" s="55" t="s">
        <v>51</v>
      </c>
      <c r="E157" s="65">
        <v>0</v>
      </c>
      <c r="F157" s="129"/>
      <c r="G157" s="129"/>
      <c r="H157" s="65"/>
      <c r="I157" s="101"/>
      <c r="J157" s="101"/>
      <c r="K157" s="133"/>
    </row>
    <row r="158" spans="1:15" ht="28.8">
      <c r="A158" s="133"/>
      <c r="B158" s="116" t="s">
        <v>303</v>
      </c>
      <c r="C158" s="55" t="s">
        <v>304</v>
      </c>
      <c r="D158" s="55" t="s">
        <v>305</v>
      </c>
      <c r="E158" s="65"/>
      <c r="F158" s="65"/>
      <c r="G158" s="108"/>
      <c r="H158" s="108"/>
      <c r="I158" s="109"/>
      <c r="J158" s="109"/>
      <c r="K158" s="133"/>
      <c r="M158" s="68" t="s">
        <v>306</v>
      </c>
      <c r="N158" s="68" t="s">
        <v>307</v>
      </c>
    </row>
    <row r="159" spans="1:15" ht="14.4">
      <c r="A159" s="133"/>
      <c r="B159" s="156" t="s">
        <v>308</v>
      </c>
      <c r="C159" s="150" t="s">
        <v>309</v>
      </c>
      <c r="D159" s="55" t="s">
        <v>310</v>
      </c>
      <c r="E159" s="65">
        <v>4</v>
      </c>
      <c r="F159" s="142"/>
      <c r="G159" s="142">
        <f>F159</f>
        <v>0</v>
      </c>
      <c r="H159" s="142">
        <v>0.5</v>
      </c>
      <c r="I159" s="134">
        <f>H159/7.75</f>
        <v>6.4516129032258063E-2</v>
      </c>
      <c r="J159" s="134">
        <f>(F159-1)/3</f>
        <v>-0.33333333333333331</v>
      </c>
      <c r="K159" s="133"/>
      <c r="M159" s="136" t="s">
        <v>311</v>
      </c>
      <c r="N159" s="136" t="s">
        <v>312</v>
      </c>
    </row>
    <row r="160" spans="1:15" ht="14.4">
      <c r="A160" s="133"/>
      <c r="B160" s="157"/>
      <c r="C160" s="133"/>
      <c r="D160" s="55" t="s">
        <v>313</v>
      </c>
      <c r="E160" s="65">
        <v>3</v>
      </c>
      <c r="F160" s="133"/>
      <c r="G160" s="133"/>
      <c r="H160" s="133"/>
      <c r="I160" s="133"/>
      <c r="J160" s="133"/>
      <c r="K160" s="133"/>
      <c r="M160" s="137"/>
      <c r="N160" s="137"/>
    </row>
    <row r="161" spans="1:15" ht="14.4">
      <c r="A161" s="133"/>
      <c r="B161" s="157"/>
      <c r="C161" s="133"/>
      <c r="D161" s="55" t="s">
        <v>314</v>
      </c>
      <c r="E161" s="65">
        <v>2</v>
      </c>
      <c r="F161" s="133"/>
      <c r="G161" s="133"/>
      <c r="H161" s="133"/>
      <c r="I161" s="133"/>
      <c r="J161" s="133"/>
      <c r="K161" s="133"/>
      <c r="M161" s="137"/>
      <c r="N161" s="137"/>
    </row>
    <row r="162" spans="1:15" ht="14.4">
      <c r="A162" s="133"/>
      <c r="B162" s="158"/>
      <c r="C162" s="129"/>
      <c r="D162" s="55" t="s">
        <v>315</v>
      </c>
      <c r="E162" s="65">
        <v>1</v>
      </c>
      <c r="F162" s="129"/>
      <c r="G162" s="129"/>
      <c r="H162" s="129"/>
      <c r="I162" s="129"/>
      <c r="J162" s="129"/>
      <c r="K162" s="133"/>
      <c r="M162" s="137"/>
      <c r="N162" s="137"/>
    </row>
    <row r="163" spans="1:15" ht="14.4">
      <c r="A163" s="133"/>
      <c r="B163" s="149" t="s">
        <v>15</v>
      </c>
      <c r="C163" s="150" t="s">
        <v>302</v>
      </c>
      <c r="D163" s="55" t="s">
        <v>49</v>
      </c>
      <c r="E163" s="65">
        <v>1</v>
      </c>
      <c r="F163" s="142"/>
      <c r="G163" s="142">
        <f>IF(F163=1,4,1)</f>
        <v>1</v>
      </c>
      <c r="H163" s="142">
        <v>0.5</v>
      </c>
      <c r="I163" s="134">
        <f>H163/7.75</f>
        <v>6.4516129032258063E-2</v>
      </c>
      <c r="J163" s="134">
        <f>(F163-0)/1</f>
        <v>0</v>
      </c>
      <c r="K163" s="133"/>
      <c r="M163" s="136" t="s">
        <v>169</v>
      </c>
      <c r="N163" s="145" t="s">
        <v>316</v>
      </c>
    </row>
    <row r="164" spans="1:15" ht="21.75" customHeight="1">
      <c r="A164" s="129"/>
      <c r="B164" s="129"/>
      <c r="C164" s="129"/>
      <c r="D164" s="55" t="s">
        <v>51</v>
      </c>
      <c r="E164" s="65">
        <v>0</v>
      </c>
      <c r="F164" s="129"/>
      <c r="G164" s="129"/>
      <c r="H164" s="129"/>
      <c r="I164" s="129"/>
      <c r="J164" s="129"/>
      <c r="K164" s="129"/>
      <c r="M164" s="137"/>
      <c r="N164" s="137"/>
    </row>
    <row r="165" spans="1:15" ht="18" customHeight="1">
      <c r="A165" s="47">
        <v>21</v>
      </c>
      <c r="B165" s="107" t="s">
        <v>317</v>
      </c>
      <c r="C165" s="99"/>
      <c r="D165" s="96"/>
      <c r="E165" s="97"/>
      <c r="F165" s="52"/>
      <c r="G165" s="52"/>
      <c r="H165" s="52"/>
      <c r="I165" s="53"/>
      <c r="J165" s="53"/>
      <c r="K165" s="117" t="s">
        <v>318</v>
      </c>
      <c r="L165" s="118"/>
      <c r="M165" s="119"/>
      <c r="N165" s="119"/>
      <c r="O165" s="119"/>
    </row>
    <row r="166" spans="1:15" ht="18" customHeight="1">
      <c r="A166" s="152"/>
      <c r="B166" s="159" t="s">
        <v>8</v>
      </c>
      <c r="C166" s="160" t="s">
        <v>319</v>
      </c>
      <c r="D166" s="120" t="s">
        <v>49</v>
      </c>
      <c r="E166" s="121">
        <v>1</v>
      </c>
      <c r="F166" s="170"/>
      <c r="G166" s="122"/>
      <c r="H166" s="122"/>
      <c r="I166" s="123"/>
      <c r="J166" s="123"/>
      <c r="K166" s="167" t="s">
        <v>320</v>
      </c>
      <c r="L166" s="118"/>
      <c r="M166" s="119"/>
      <c r="N166" s="119"/>
      <c r="O166" s="119"/>
    </row>
    <row r="167" spans="1:15" ht="30.75" customHeight="1">
      <c r="A167" s="133"/>
      <c r="B167" s="129"/>
      <c r="C167" s="129"/>
      <c r="D167" s="120" t="s">
        <v>51</v>
      </c>
      <c r="E167" s="121">
        <v>0</v>
      </c>
      <c r="F167" s="129"/>
      <c r="G167" s="122"/>
      <c r="H167" s="122"/>
      <c r="I167" s="123"/>
      <c r="J167" s="123"/>
      <c r="K167" s="129"/>
      <c r="L167" s="118"/>
      <c r="M167" s="119"/>
      <c r="N167" s="119"/>
      <c r="O167" s="119"/>
    </row>
    <row r="168" spans="1:15" ht="23.25" customHeight="1">
      <c r="A168" s="133"/>
      <c r="B168" s="159" t="s">
        <v>15</v>
      </c>
      <c r="C168" s="160" t="s">
        <v>321</v>
      </c>
      <c r="D168" s="120" t="s">
        <v>49</v>
      </c>
      <c r="E168" s="121">
        <v>1</v>
      </c>
      <c r="F168" s="170"/>
      <c r="G168" s="122"/>
      <c r="H168" s="122"/>
      <c r="I168" s="123"/>
      <c r="J168" s="123"/>
      <c r="K168" s="167" t="s">
        <v>320</v>
      </c>
      <c r="L168" s="118"/>
      <c r="M168" s="119"/>
      <c r="N168" s="119"/>
      <c r="O168" s="119"/>
    </row>
    <row r="169" spans="1:15" ht="23.25" customHeight="1">
      <c r="A169" s="133"/>
      <c r="B169" s="129"/>
      <c r="C169" s="129"/>
      <c r="D169" s="120" t="s">
        <v>51</v>
      </c>
      <c r="E169" s="121">
        <v>0</v>
      </c>
      <c r="F169" s="129"/>
      <c r="G169" s="122"/>
      <c r="H169" s="122"/>
      <c r="I169" s="123"/>
      <c r="J169" s="123"/>
      <c r="K169" s="129"/>
      <c r="L169" s="118"/>
      <c r="M169" s="119"/>
      <c r="N169" s="119"/>
      <c r="O169" s="119"/>
    </row>
    <row r="170" spans="1:15" ht="21.75" customHeight="1">
      <c r="A170" s="133"/>
      <c r="B170" s="159" t="s">
        <v>322</v>
      </c>
      <c r="C170" s="160" t="s">
        <v>323</v>
      </c>
      <c r="D170" s="120" t="s">
        <v>49</v>
      </c>
      <c r="E170" s="121">
        <v>1</v>
      </c>
      <c r="F170" s="170"/>
      <c r="G170" s="122"/>
      <c r="H170" s="122"/>
      <c r="I170" s="123"/>
      <c r="J170" s="123"/>
      <c r="K170" s="167" t="s">
        <v>324</v>
      </c>
      <c r="L170" s="118"/>
      <c r="M170" s="119"/>
      <c r="N170" s="119"/>
      <c r="O170" s="119"/>
    </row>
    <row r="171" spans="1:15" ht="21.75" customHeight="1">
      <c r="A171" s="129"/>
      <c r="B171" s="129"/>
      <c r="C171" s="129"/>
      <c r="D171" s="120" t="s">
        <v>51</v>
      </c>
      <c r="E171" s="121">
        <v>0</v>
      </c>
      <c r="F171" s="129"/>
      <c r="G171" s="122"/>
      <c r="H171" s="122"/>
      <c r="I171" s="123"/>
      <c r="J171" s="123"/>
      <c r="K171" s="129"/>
      <c r="L171" s="118"/>
      <c r="M171" s="119"/>
      <c r="N171" s="119"/>
      <c r="O171" s="119"/>
    </row>
    <row r="172" spans="1:15" ht="14.4">
      <c r="C172" s="3"/>
      <c r="E172" s="4"/>
      <c r="L172" s="1"/>
      <c r="M172" s="1"/>
    </row>
    <row r="173" spans="1:15" ht="30" customHeight="1">
      <c r="A173" s="5" t="s">
        <v>325</v>
      </c>
      <c r="B173" s="16"/>
      <c r="C173" s="17"/>
      <c r="D173" s="16"/>
      <c r="E173" s="8"/>
      <c r="F173" s="16"/>
      <c r="G173" s="16"/>
      <c r="H173" s="16"/>
      <c r="I173" s="16"/>
      <c r="J173" s="16"/>
      <c r="K173" s="16"/>
      <c r="L173" s="16"/>
      <c r="M173" s="16"/>
      <c r="N173" s="16"/>
      <c r="O173" s="16"/>
    </row>
    <row r="174" spans="1:15" ht="14.4">
      <c r="A174" s="124">
        <v>22</v>
      </c>
      <c r="B174" s="125" t="s">
        <v>326</v>
      </c>
      <c r="C174" s="126"/>
      <c r="D174" s="126"/>
      <c r="E174" s="126"/>
      <c r="F174" s="126"/>
      <c r="G174" s="126"/>
      <c r="H174" s="126"/>
      <c r="I174" s="126"/>
      <c r="J174" s="126"/>
      <c r="K174" s="126"/>
      <c r="L174" s="9"/>
      <c r="M174" s="1"/>
    </row>
    <row r="175" spans="1:15" ht="22.5" customHeight="1">
      <c r="A175" s="153"/>
      <c r="B175" s="127" t="s">
        <v>8</v>
      </c>
      <c r="C175" s="126" t="s">
        <v>327</v>
      </c>
      <c r="D175" s="126" t="s">
        <v>328</v>
      </c>
      <c r="E175" s="126"/>
      <c r="F175" s="126"/>
      <c r="G175" s="126"/>
      <c r="H175" s="126"/>
      <c r="I175" s="126"/>
      <c r="J175" s="126"/>
      <c r="K175" s="168" t="s">
        <v>329</v>
      </c>
      <c r="L175" s="169" t="s">
        <v>330</v>
      </c>
      <c r="M175" s="1"/>
    </row>
    <row r="176" spans="1:15" ht="22.5" customHeight="1">
      <c r="A176" s="133"/>
      <c r="B176" s="127" t="s">
        <v>15</v>
      </c>
      <c r="C176" s="126" t="s">
        <v>331</v>
      </c>
      <c r="D176" s="126" t="s">
        <v>328</v>
      </c>
      <c r="E176" s="126"/>
      <c r="F176" s="126"/>
      <c r="G176" s="126"/>
      <c r="H176" s="126"/>
      <c r="I176" s="126"/>
      <c r="J176" s="126"/>
      <c r="K176" s="133"/>
      <c r="L176" s="133"/>
      <c r="M176" s="1"/>
    </row>
    <row r="177" spans="1:13" ht="22.5" customHeight="1">
      <c r="A177" s="133"/>
      <c r="B177" s="127" t="s">
        <v>332</v>
      </c>
      <c r="C177" s="126" t="s">
        <v>333</v>
      </c>
      <c r="D177" s="126" t="s">
        <v>328</v>
      </c>
      <c r="E177" s="126"/>
      <c r="F177" s="126"/>
      <c r="G177" s="126"/>
      <c r="H177" s="126"/>
      <c r="I177" s="126"/>
      <c r="J177" s="126"/>
      <c r="K177" s="133"/>
      <c r="L177" s="133"/>
      <c r="M177" s="1"/>
    </row>
    <row r="178" spans="1:13" ht="22.5" customHeight="1">
      <c r="A178" s="129"/>
      <c r="B178" s="127" t="s">
        <v>334</v>
      </c>
      <c r="C178" s="126" t="s">
        <v>335</v>
      </c>
      <c r="D178" s="126" t="s">
        <v>11</v>
      </c>
      <c r="E178" s="126"/>
      <c r="F178" s="126"/>
      <c r="G178" s="126"/>
      <c r="H178" s="126"/>
      <c r="I178" s="126"/>
      <c r="J178" s="126"/>
      <c r="K178" s="129"/>
      <c r="L178" s="129"/>
      <c r="M178" s="1"/>
    </row>
    <row r="179" spans="1:13" ht="14.4">
      <c r="C179" s="3"/>
      <c r="E179" s="4"/>
      <c r="L179" s="1"/>
      <c r="M179" s="1"/>
    </row>
    <row r="180" spans="1:13" ht="14.4">
      <c r="C180" s="3"/>
      <c r="E180" s="4"/>
      <c r="L180" s="1"/>
      <c r="M180" s="1"/>
    </row>
    <row r="181" spans="1:13" ht="14.4">
      <c r="C181" s="3"/>
      <c r="E181" s="4"/>
      <c r="L181" s="1"/>
      <c r="M181" s="1"/>
    </row>
    <row r="182" spans="1:13" ht="14.4">
      <c r="C182" s="3"/>
      <c r="E182" s="4"/>
      <c r="L182" s="1"/>
      <c r="M182" s="1"/>
    </row>
    <row r="183" spans="1:13" ht="14.4">
      <c r="C183" s="3"/>
      <c r="E183" s="4"/>
      <c r="L183" s="1"/>
      <c r="M183" s="1"/>
    </row>
    <row r="184" spans="1:13" ht="14.4">
      <c r="C184" s="3"/>
      <c r="E184" s="4"/>
      <c r="L184" s="1"/>
      <c r="M184" s="1"/>
    </row>
    <row r="185" spans="1:13" ht="14.4">
      <c r="C185" s="3"/>
      <c r="E185" s="4"/>
      <c r="L185" s="1"/>
      <c r="M185" s="1"/>
    </row>
    <row r="186" spans="1:13" ht="14.4">
      <c r="C186" s="3"/>
      <c r="E186" s="4"/>
      <c r="L186" s="1"/>
      <c r="M186" s="1"/>
    </row>
    <row r="187" spans="1:13" ht="14.4">
      <c r="C187" s="3"/>
      <c r="E187" s="4"/>
      <c r="L187" s="1"/>
      <c r="M187" s="1"/>
    </row>
    <row r="188" spans="1:13" ht="14.4">
      <c r="C188" s="3"/>
      <c r="E188" s="4"/>
      <c r="L188" s="1"/>
      <c r="M188" s="1"/>
    </row>
    <row r="189" spans="1:13" ht="14.4">
      <c r="C189" s="3"/>
      <c r="E189" s="4"/>
      <c r="L189" s="1"/>
      <c r="M189" s="1"/>
    </row>
    <row r="190" spans="1:13" ht="14.4">
      <c r="C190" s="3"/>
      <c r="E190" s="4"/>
      <c r="L190" s="1"/>
      <c r="M190" s="1"/>
    </row>
    <row r="191" spans="1:13" ht="14.4">
      <c r="C191" s="3"/>
      <c r="E191" s="4"/>
      <c r="L191" s="1"/>
      <c r="M191" s="1"/>
    </row>
    <row r="192" spans="1:13" ht="14.4">
      <c r="C192" s="3"/>
      <c r="E192" s="4"/>
      <c r="L192" s="1"/>
      <c r="M192" s="1"/>
    </row>
    <row r="193" spans="3:13" ht="14.4">
      <c r="C193" s="3"/>
      <c r="E193" s="4"/>
      <c r="L193" s="1"/>
      <c r="M193" s="1"/>
    </row>
    <row r="194" spans="3:13" ht="14.4">
      <c r="C194" s="3"/>
      <c r="E194" s="4"/>
      <c r="L194" s="1"/>
      <c r="M194" s="1"/>
    </row>
    <row r="195" spans="3:13" ht="14.4">
      <c r="C195" s="3"/>
      <c r="E195" s="4"/>
      <c r="L195" s="1"/>
      <c r="M195" s="1"/>
    </row>
    <row r="196" spans="3:13" ht="14.4">
      <c r="C196" s="3"/>
      <c r="E196" s="4"/>
      <c r="L196" s="1"/>
      <c r="M196" s="1"/>
    </row>
    <row r="197" spans="3:13" ht="14.4">
      <c r="C197" s="3"/>
      <c r="E197" s="4"/>
      <c r="L197" s="1"/>
      <c r="M197" s="1"/>
    </row>
    <row r="198" spans="3:13" ht="14.4">
      <c r="C198" s="3"/>
      <c r="E198" s="4"/>
      <c r="L198" s="1"/>
      <c r="M198" s="1"/>
    </row>
    <row r="199" spans="3:13" ht="14.4">
      <c r="C199" s="3"/>
      <c r="E199" s="4"/>
      <c r="L199" s="1"/>
      <c r="M199" s="1"/>
    </row>
    <row r="200" spans="3:13" ht="14.4">
      <c r="C200" s="3"/>
      <c r="E200" s="4"/>
      <c r="L200" s="1"/>
      <c r="M200" s="1"/>
    </row>
    <row r="201" spans="3:13" ht="14.4">
      <c r="C201" s="3"/>
      <c r="E201" s="4"/>
      <c r="L201" s="1"/>
      <c r="M201" s="1"/>
    </row>
    <row r="202" spans="3:13" ht="14.4">
      <c r="C202" s="3"/>
      <c r="E202" s="4"/>
      <c r="L202" s="1"/>
      <c r="M202" s="1"/>
    </row>
    <row r="203" spans="3:13" ht="14.4">
      <c r="C203" s="3"/>
      <c r="E203" s="4"/>
      <c r="L203" s="1"/>
      <c r="M203" s="1"/>
    </row>
    <row r="204" spans="3:13" ht="14.4">
      <c r="C204" s="3"/>
      <c r="E204" s="4"/>
      <c r="L204" s="1"/>
      <c r="M204" s="1"/>
    </row>
    <row r="205" spans="3:13" ht="14.4">
      <c r="C205" s="3"/>
      <c r="E205" s="4"/>
      <c r="L205" s="1"/>
      <c r="M205" s="1"/>
    </row>
    <row r="206" spans="3:13" ht="14.4">
      <c r="C206" s="3"/>
      <c r="E206" s="4"/>
      <c r="L206" s="1"/>
      <c r="M206" s="1"/>
    </row>
    <row r="207" spans="3:13" ht="14.4">
      <c r="C207" s="3"/>
      <c r="E207" s="4"/>
      <c r="L207" s="1"/>
      <c r="M207" s="1"/>
    </row>
    <row r="208" spans="3:13" ht="14.4">
      <c r="C208" s="3"/>
      <c r="E208" s="4"/>
      <c r="L208" s="1"/>
      <c r="M208" s="1"/>
    </row>
    <row r="209" spans="3:13" ht="14.4">
      <c r="C209" s="3"/>
      <c r="E209" s="4"/>
      <c r="L209" s="1"/>
      <c r="M209" s="1"/>
    </row>
    <row r="210" spans="3:13" ht="14.4">
      <c r="C210" s="3"/>
      <c r="E210" s="4"/>
      <c r="L210" s="1"/>
      <c r="M210" s="1"/>
    </row>
    <row r="211" spans="3:13" ht="14.4">
      <c r="C211" s="3"/>
      <c r="E211" s="4"/>
      <c r="L211" s="1"/>
      <c r="M211" s="1"/>
    </row>
    <row r="212" spans="3:13" ht="14.4">
      <c r="C212" s="3"/>
      <c r="E212" s="4"/>
      <c r="L212" s="1"/>
      <c r="M212" s="1"/>
    </row>
    <row r="213" spans="3:13" ht="14.4">
      <c r="C213" s="3"/>
      <c r="E213" s="4"/>
      <c r="L213" s="1"/>
      <c r="M213" s="1"/>
    </row>
    <row r="214" spans="3:13" ht="14.4">
      <c r="C214" s="3"/>
      <c r="E214" s="4"/>
      <c r="L214" s="1"/>
      <c r="M214" s="1"/>
    </row>
    <row r="215" spans="3:13" ht="14.4">
      <c r="C215" s="3"/>
      <c r="E215" s="4"/>
      <c r="L215" s="1"/>
      <c r="M215" s="1"/>
    </row>
    <row r="216" spans="3:13" ht="14.4">
      <c r="C216" s="3"/>
      <c r="E216" s="4"/>
      <c r="L216" s="1"/>
      <c r="M216" s="1"/>
    </row>
    <row r="217" spans="3:13" ht="14.4">
      <c r="C217" s="3"/>
      <c r="E217" s="4"/>
      <c r="L217" s="1"/>
      <c r="M217" s="1"/>
    </row>
    <row r="218" spans="3:13" ht="14.4">
      <c r="C218" s="3"/>
      <c r="E218" s="4"/>
      <c r="L218" s="1"/>
      <c r="M218" s="1"/>
    </row>
    <row r="219" spans="3:13" ht="14.4">
      <c r="C219" s="3"/>
      <c r="E219" s="4"/>
      <c r="L219" s="1"/>
      <c r="M219" s="1"/>
    </row>
    <row r="220" spans="3:13" ht="14.4">
      <c r="C220" s="3"/>
      <c r="E220" s="4"/>
      <c r="L220" s="1"/>
      <c r="M220" s="1"/>
    </row>
    <row r="221" spans="3:13" ht="14.4">
      <c r="C221" s="3"/>
      <c r="E221" s="4"/>
      <c r="L221" s="1"/>
      <c r="M221" s="1"/>
    </row>
    <row r="222" spans="3:13" ht="14.4">
      <c r="C222" s="3"/>
      <c r="E222" s="4"/>
      <c r="L222" s="1"/>
      <c r="M222" s="1"/>
    </row>
    <row r="223" spans="3:13" ht="14.4">
      <c r="C223" s="3"/>
      <c r="E223" s="4"/>
      <c r="L223" s="1"/>
      <c r="M223" s="1"/>
    </row>
    <row r="224" spans="3:13" ht="14.4">
      <c r="C224" s="3"/>
      <c r="E224" s="4"/>
      <c r="L224" s="1"/>
      <c r="M224" s="1"/>
    </row>
    <row r="225" spans="3:13" ht="14.4">
      <c r="C225" s="3"/>
      <c r="E225" s="4"/>
      <c r="L225" s="1"/>
      <c r="M225" s="1"/>
    </row>
    <row r="226" spans="3:13" ht="14.4">
      <c r="C226" s="3"/>
      <c r="E226" s="4"/>
      <c r="L226" s="1"/>
      <c r="M226" s="1"/>
    </row>
    <row r="227" spans="3:13" ht="14.4">
      <c r="C227" s="3"/>
      <c r="E227" s="4"/>
      <c r="L227" s="1"/>
      <c r="M227" s="1"/>
    </row>
    <row r="228" spans="3:13" ht="14.4">
      <c r="C228" s="3"/>
      <c r="E228" s="4"/>
      <c r="L228" s="1"/>
      <c r="M228" s="1"/>
    </row>
    <row r="229" spans="3:13" ht="14.4">
      <c r="C229" s="3"/>
      <c r="E229" s="4"/>
      <c r="L229" s="1"/>
      <c r="M229" s="1"/>
    </row>
    <row r="230" spans="3:13" ht="14.4">
      <c r="C230" s="3"/>
      <c r="E230" s="4"/>
      <c r="L230" s="1"/>
      <c r="M230" s="1"/>
    </row>
    <row r="231" spans="3:13" ht="14.4">
      <c r="C231" s="3"/>
      <c r="E231" s="4"/>
      <c r="L231" s="1"/>
      <c r="M231" s="1"/>
    </row>
    <row r="232" spans="3:13" ht="14.4">
      <c r="C232" s="3"/>
      <c r="E232" s="4"/>
      <c r="L232" s="1"/>
      <c r="M232" s="1"/>
    </row>
    <row r="233" spans="3:13" ht="14.4">
      <c r="C233" s="3"/>
      <c r="E233" s="4"/>
      <c r="L233" s="1"/>
      <c r="M233" s="1"/>
    </row>
    <row r="234" spans="3:13" ht="14.4">
      <c r="C234" s="3"/>
      <c r="E234" s="4"/>
      <c r="L234" s="1"/>
      <c r="M234" s="1"/>
    </row>
    <row r="235" spans="3:13" ht="14.4">
      <c r="C235" s="3"/>
      <c r="E235" s="4"/>
      <c r="L235" s="1"/>
      <c r="M235" s="1"/>
    </row>
    <row r="236" spans="3:13" ht="14.4">
      <c r="C236" s="3"/>
      <c r="E236" s="4"/>
      <c r="L236" s="1"/>
      <c r="M236" s="1"/>
    </row>
    <row r="237" spans="3:13" ht="14.4">
      <c r="C237" s="3"/>
      <c r="E237" s="4"/>
      <c r="L237" s="1"/>
      <c r="M237" s="1"/>
    </row>
    <row r="238" spans="3:13" ht="14.4">
      <c r="C238" s="3"/>
      <c r="E238" s="4"/>
      <c r="L238" s="1"/>
      <c r="M238" s="1"/>
    </row>
    <row r="239" spans="3:13" ht="14.4">
      <c r="C239" s="3"/>
      <c r="E239" s="4"/>
      <c r="L239" s="1"/>
      <c r="M239" s="1"/>
    </row>
    <row r="240" spans="3:13" ht="14.4">
      <c r="C240" s="3"/>
      <c r="E240" s="4"/>
      <c r="L240" s="1"/>
      <c r="M240" s="1"/>
    </row>
    <row r="241" spans="3:13" ht="14.4">
      <c r="C241" s="3"/>
      <c r="E241" s="4"/>
      <c r="L241" s="1"/>
      <c r="M241" s="1"/>
    </row>
    <row r="242" spans="3:13" ht="14.4">
      <c r="C242" s="3"/>
      <c r="E242" s="4"/>
      <c r="L242" s="1"/>
      <c r="M242" s="1"/>
    </row>
    <row r="243" spans="3:13" ht="14.4">
      <c r="C243" s="3"/>
      <c r="E243" s="4"/>
      <c r="L243" s="1"/>
      <c r="M243" s="1"/>
    </row>
    <row r="244" spans="3:13" ht="14.4">
      <c r="C244" s="3"/>
      <c r="E244" s="4"/>
      <c r="L244" s="1"/>
      <c r="M244" s="1"/>
    </row>
    <row r="245" spans="3:13" ht="14.4">
      <c r="C245" s="3"/>
      <c r="E245" s="4"/>
      <c r="L245" s="1"/>
      <c r="M245" s="1"/>
    </row>
    <row r="246" spans="3:13" ht="14.4">
      <c r="C246" s="3"/>
      <c r="E246" s="4"/>
      <c r="L246" s="1"/>
      <c r="M246" s="1"/>
    </row>
    <row r="247" spans="3:13" ht="14.4">
      <c r="C247" s="3"/>
      <c r="E247" s="4"/>
      <c r="L247" s="1"/>
      <c r="M247" s="1"/>
    </row>
    <row r="248" spans="3:13" ht="14.4">
      <c r="C248" s="3"/>
      <c r="E248" s="4"/>
      <c r="L248" s="1"/>
      <c r="M248" s="1"/>
    </row>
    <row r="249" spans="3:13" ht="14.4">
      <c r="C249" s="3"/>
      <c r="E249" s="4"/>
      <c r="L249" s="1"/>
      <c r="M249" s="1"/>
    </row>
    <row r="250" spans="3:13" ht="14.4">
      <c r="C250" s="3"/>
      <c r="E250" s="4"/>
      <c r="L250" s="1"/>
      <c r="M250" s="1"/>
    </row>
    <row r="251" spans="3:13" ht="14.4">
      <c r="C251" s="3"/>
      <c r="E251" s="4"/>
      <c r="L251" s="1"/>
      <c r="M251" s="1"/>
    </row>
    <row r="252" spans="3:13" ht="14.4">
      <c r="C252" s="3"/>
      <c r="E252" s="4"/>
      <c r="L252" s="1"/>
      <c r="M252" s="1"/>
    </row>
    <row r="253" spans="3:13" ht="14.4">
      <c r="C253" s="3"/>
      <c r="E253" s="4"/>
      <c r="L253" s="1"/>
      <c r="M253" s="1"/>
    </row>
    <row r="254" spans="3:13" ht="14.4">
      <c r="C254" s="3"/>
      <c r="E254" s="4"/>
      <c r="L254" s="1"/>
      <c r="M254" s="1"/>
    </row>
    <row r="255" spans="3:13" ht="14.4">
      <c r="C255" s="3"/>
      <c r="E255" s="4"/>
      <c r="L255" s="1"/>
      <c r="M255" s="1"/>
    </row>
    <row r="256" spans="3:13" ht="14.4">
      <c r="C256" s="3"/>
      <c r="E256" s="4"/>
      <c r="L256" s="1"/>
      <c r="M256" s="1"/>
    </row>
    <row r="257" spans="3:13" ht="14.4">
      <c r="C257" s="3"/>
      <c r="E257" s="4"/>
      <c r="L257" s="1"/>
      <c r="M257" s="1"/>
    </row>
    <row r="258" spans="3:13" ht="14.4">
      <c r="C258" s="3"/>
      <c r="E258" s="4"/>
      <c r="L258" s="1"/>
      <c r="M258" s="1"/>
    </row>
    <row r="259" spans="3:13" ht="14.4">
      <c r="C259" s="3"/>
      <c r="E259" s="4"/>
      <c r="L259" s="1"/>
      <c r="M259" s="1"/>
    </row>
    <row r="260" spans="3:13" ht="14.4">
      <c r="C260" s="3"/>
      <c r="E260" s="4"/>
      <c r="L260" s="1"/>
      <c r="M260" s="1"/>
    </row>
    <row r="261" spans="3:13" ht="14.4">
      <c r="C261" s="3"/>
      <c r="E261" s="4"/>
      <c r="L261" s="1"/>
      <c r="M261" s="1"/>
    </row>
    <row r="262" spans="3:13" ht="14.4">
      <c r="C262" s="3"/>
      <c r="E262" s="4"/>
      <c r="L262" s="1"/>
      <c r="M262" s="1"/>
    </row>
    <row r="263" spans="3:13" ht="14.4">
      <c r="C263" s="3"/>
      <c r="E263" s="4"/>
      <c r="L263" s="1"/>
      <c r="M263" s="1"/>
    </row>
    <row r="264" spans="3:13" ht="14.4">
      <c r="C264" s="3"/>
      <c r="E264" s="4"/>
      <c r="L264" s="1"/>
      <c r="M264" s="1"/>
    </row>
    <row r="265" spans="3:13" ht="14.4">
      <c r="C265" s="3"/>
      <c r="E265" s="4"/>
      <c r="L265" s="1"/>
      <c r="M265" s="1"/>
    </row>
    <row r="266" spans="3:13" ht="14.4">
      <c r="C266" s="3"/>
      <c r="E266" s="4"/>
      <c r="L266" s="1"/>
      <c r="M266" s="1"/>
    </row>
    <row r="267" spans="3:13" ht="14.4">
      <c r="C267" s="3"/>
      <c r="E267" s="4"/>
      <c r="L267" s="1"/>
      <c r="M267" s="1"/>
    </row>
    <row r="268" spans="3:13" ht="14.4">
      <c r="C268" s="3"/>
      <c r="E268" s="4"/>
      <c r="L268" s="1"/>
      <c r="M268" s="1"/>
    </row>
    <row r="269" spans="3:13" ht="14.4">
      <c r="C269" s="3"/>
      <c r="E269" s="4"/>
      <c r="L269" s="1"/>
      <c r="M269" s="1"/>
    </row>
    <row r="270" spans="3:13" ht="14.4">
      <c r="C270" s="3"/>
      <c r="E270" s="4"/>
      <c r="L270" s="1"/>
      <c r="M270" s="1"/>
    </row>
    <row r="271" spans="3:13" ht="14.4">
      <c r="C271" s="3"/>
      <c r="E271" s="4"/>
      <c r="L271" s="1"/>
      <c r="M271" s="1"/>
    </row>
    <row r="272" spans="3:13" ht="14.4">
      <c r="C272" s="3"/>
      <c r="E272" s="4"/>
      <c r="L272" s="1"/>
      <c r="M272" s="1"/>
    </row>
    <row r="273" spans="3:13" ht="14.4">
      <c r="C273" s="3"/>
      <c r="E273" s="4"/>
      <c r="L273" s="1"/>
      <c r="M273" s="1"/>
    </row>
    <row r="274" spans="3:13" ht="14.4">
      <c r="C274" s="3"/>
      <c r="E274" s="4"/>
      <c r="L274" s="1"/>
      <c r="M274" s="1"/>
    </row>
    <row r="275" spans="3:13" ht="14.4">
      <c r="C275" s="3"/>
      <c r="E275" s="4"/>
      <c r="L275" s="1"/>
      <c r="M275" s="1"/>
    </row>
    <row r="276" spans="3:13" ht="14.4">
      <c r="C276" s="3"/>
      <c r="E276" s="4"/>
      <c r="L276" s="1"/>
      <c r="M276" s="1"/>
    </row>
    <row r="277" spans="3:13" ht="14.4">
      <c r="C277" s="3"/>
      <c r="E277" s="4"/>
      <c r="L277" s="1"/>
      <c r="M277" s="1"/>
    </row>
    <row r="278" spans="3:13" ht="14.4">
      <c r="C278" s="3"/>
      <c r="E278" s="4"/>
      <c r="L278" s="1"/>
      <c r="M278" s="1"/>
    </row>
    <row r="279" spans="3:13" ht="14.4">
      <c r="C279" s="3"/>
      <c r="E279" s="4"/>
      <c r="L279" s="1"/>
      <c r="M279" s="1"/>
    </row>
    <row r="280" spans="3:13" ht="14.4">
      <c r="C280" s="3"/>
      <c r="E280" s="4"/>
      <c r="L280" s="1"/>
      <c r="M280" s="1"/>
    </row>
    <row r="281" spans="3:13" ht="14.4">
      <c r="C281" s="3"/>
      <c r="E281" s="4"/>
      <c r="L281" s="1"/>
      <c r="M281" s="1"/>
    </row>
    <row r="282" spans="3:13" ht="14.4">
      <c r="C282" s="3"/>
      <c r="E282" s="4"/>
      <c r="L282" s="1"/>
      <c r="M282" s="1"/>
    </row>
    <row r="283" spans="3:13" ht="14.4">
      <c r="C283" s="3"/>
      <c r="E283" s="4"/>
      <c r="L283" s="1"/>
      <c r="M283" s="1"/>
    </row>
    <row r="284" spans="3:13" ht="14.4">
      <c r="C284" s="3"/>
      <c r="E284" s="4"/>
      <c r="L284" s="1"/>
      <c r="M284" s="1"/>
    </row>
    <row r="285" spans="3:13" ht="14.4">
      <c r="C285" s="3"/>
      <c r="E285" s="4"/>
      <c r="L285" s="1"/>
      <c r="M285" s="1"/>
    </row>
    <row r="286" spans="3:13" ht="14.4">
      <c r="C286" s="3"/>
      <c r="E286" s="4"/>
      <c r="L286" s="1"/>
      <c r="M286" s="1"/>
    </row>
    <row r="287" spans="3:13" ht="14.4">
      <c r="C287" s="3"/>
      <c r="E287" s="4"/>
      <c r="L287" s="1"/>
      <c r="M287" s="1"/>
    </row>
    <row r="288" spans="3:13" ht="14.4">
      <c r="C288" s="3"/>
      <c r="E288" s="4"/>
      <c r="L288" s="1"/>
      <c r="M288" s="1"/>
    </row>
    <row r="289" spans="3:13" ht="14.4">
      <c r="C289" s="3"/>
      <c r="E289" s="4"/>
      <c r="L289" s="1"/>
      <c r="M289" s="1"/>
    </row>
    <row r="290" spans="3:13" ht="14.4">
      <c r="C290" s="3"/>
      <c r="E290" s="4"/>
      <c r="L290" s="1"/>
      <c r="M290" s="1"/>
    </row>
    <row r="291" spans="3:13" ht="14.4">
      <c r="C291" s="3"/>
      <c r="E291" s="4"/>
      <c r="L291" s="1"/>
      <c r="M291" s="1"/>
    </row>
    <row r="292" spans="3:13" ht="14.4">
      <c r="C292" s="3"/>
      <c r="E292" s="4"/>
      <c r="L292" s="1"/>
      <c r="M292" s="1"/>
    </row>
    <row r="293" spans="3:13" ht="14.4">
      <c r="C293" s="3"/>
      <c r="E293" s="4"/>
      <c r="L293" s="1"/>
      <c r="M293" s="1"/>
    </row>
    <row r="294" spans="3:13" ht="14.4">
      <c r="C294" s="3"/>
      <c r="E294" s="4"/>
      <c r="L294" s="1"/>
      <c r="M294" s="1"/>
    </row>
    <row r="295" spans="3:13" ht="14.4">
      <c r="C295" s="3"/>
      <c r="E295" s="4"/>
      <c r="L295" s="1"/>
      <c r="M295" s="1"/>
    </row>
    <row r="296" spans="3:13" ht="14.4">
      <c r="C296" s="3"/>
      <c r="E296" s="4"/>
      <c r="L296" s="1"/>
      <c r="M296" s="1"/>
    </row>
    <row r="297" spans="3:13" ht="14.4">
      <c r="C297" s="3"/>
      <c r="E297" s="4"/>
      <c r="L297" s="1"/>
      <c r="M297" s="1"/>
    </row>
    <row r="298" spans="3:13" ht="14.4">
      <c r="C298" s="3"/>
      <c r="E298" s="4"/>
      <c r="L298" s="1"/>
      <c r="M298" s="1"/>
    </row>
    <row r="299" spans="3:13" ht="14.4">
      <c r="C299" s="3"/>
      <c r="E299" s="4"/>
      <c r="L299" s="1"/>
      <c r="M299" s="1"/>
    </row>
    <row r="300" spans="3:13" ht="14.4">
      <c r="C300" s="3"/>
      <c r="E300" s="4"/>
      <c r="L300" s="1"/>
      <c r="M300" s="1"/>
    </row>
    <row r="301" spans="3:13" ht="14.4">
      <c r="C301" s="3"/>
      <c r="E301" s="4"/>
      <c r="L301" s="1"/>
      <c r="M301" s="1"/>
    </row>
    <row r="302" spans="3:13" ht="14.4">
      <c r="C302" s="3"/>
      <c r="E302" s="4"/>
      <c r="L302" s="1"/>
      <c r="M302" s="1"/>
    </row>
    <row r="303" spans="3:13" ht="14.4">
      <c r="C303" s="3"/>
      <c r="E303" s="4"/>
      <c r="L303" s="1"/>
      <c r="M303" s="1"/>
    </row>
    <row r="304" spans="3:13" ht="14.4">
      <c r="C304" s="3"/>
      <c r="E304" s="4"/>
      <c r="L304" s="1"/>
      <c r="M304" s="1"/>
    </row>
    <row r="305" spans="3:13" ht="14.4">
      <c r="C305" s="3"/>
      <c r="E305" s="4"/>
      <c r="L305" s="1"/>
      <c r="M305" s="1"/>
    </row>
    <row r="306" spans="3:13" ht="14.4">
      <c r="C306" s="3"/>
      <c r="E306" s="4"/>
      <c r="L306" s="1"/>
      <c r="M306" s="1"/>
    </row>
    <row r="307" spans="3:13" ht="14.4">
      <c r="C307" s="3"/>
      <c r="E307" s="4"/>
      <c r="L307" s="1"/>
      <c r="M307" s="1"/>
    </row>
    <row r="308" spans="3:13" ht="14.4">
      <c r="C308" s="3"/>
      <c r="E308" s="4"/>
      <c r="L308" s="1"/>
      <c r="M308" s="1"/>
    </row>
    <row r="309" spans="3:13" ht="14.4">
      <c r="C309" s="3"/>
      <c r="E309" s="4"/>
      <c r="L309" s="1"/>
      <c r="M309" s="1"/>
    </row>
    <row r="310" spans="3:13" ht="14.4">
      <c r="C310" s="3"/>
      <c r="E310" s="4"/>
      <c r="L310" s="1"/>
      <c r="M310" s="1"/>
    </row>
    <row r="311" spans="3:13" ht="14.4">
      <c r="C311" s="3"/>
      <c r="E311" s="4"/>
      <c r="L311" s="1"/>
      <c r="M311" s="1"/>
    </row>
    <row r="312" spans="3:13" ht="14.4">
      <c r="C312" s="3"/>
      <c r="E312" s="4"/>
      <c r="L312" s="1"/>
      <c r="M312" s="1"/>
    </row>
    <row r="313" spans="3:13" ht="14.4">
      <c r="C313" s="3"/>
      <c r="E313" s="4"/>
      <c r="L313" s="1"/>
      <c r="M313" s="1"/>
    </row>
    <row r="314" spans="3:13" ht="14.4">
      <c r="C314" s="3"/>
      <c r="E314" s="4"/>
      <c r="L314" s="1"/>
      <c r="M314" s="1"/>
    </row>
    <row r="315" spans="3:13" ht="14.4">
      <c r="C315" s="3"/>
      <c r="E315" s="4"/>
      <c r="L315" s="1"/>
      <c r="M315" s="1"/>
    </row>
    <row r="316" spans="3:13" ht="14.4">
      <c r="C316" s="3"/>
      <c r="E316" s="4"/>
      <c r="L316" s="1"/>
      <c r="M316" s="1"/>
    </row>
    <row r="317" spans="3:13" ht="14.4">
      <c r="C317" s="3"/>
      <c r="E317" s="4"/>
      <c r="L317" s="1"/>
      <c r="M317" s="1"/>
    </row>
    <row r="318" spans="3:13" ht="14.4">
      <c r="C318" s="3"/>
      <c r="E318" s="4"/>
      <c r="L318" s="1"/>
      <c r="M318" s="1"/>
    </row>
    <row r="319" spans="3:13" ht="14.4">
      <c r="C319" s="3"/>
      <c r="E319" s="4"/>
      <c r="L319" s="1"/>
      <c r="M319" s="1"/>
    </row>
    <row r="320" spans="3:13" ht="14.4">
      <c r="C320" s="3"/>
      <c r="E320" s="4"/>
      <c r="L320" s="1"/>
      <c r="M320" s="1"/>
    </row>
    <row r="321" spans="3:13" ht="14.4">
      <c r="C321" s="3"/>
      <c r="E321" s="4"/>
      <c r="L321" s="1"/>
      <c r="M321" s="1"/>
    </row>
    <row r="322" spans="3:13" ht="14.4">
      <c r="C322" s="3"/>
      <c r="E322" s="4"/>
      <c r="L322" s="1"/>
      <c r="M322" s="1"/>
    </row>
    <row r="323" spans="3:13" ht="14.4">
      <c r="C323" s="3"/>
      <c r="E323" s="4"/>
      <c r="L323" s="1"/>
      <c r="M323" s="1"/>
    </row>
    <row r="324" spans="3:13" ht="14.4">
      <c r="C324" s="3"/>
      <c r="E324" s="4"/>
      <c r="L324" s="1"/>
      <c r="M324" s="1"/>
    </row>
    <row r="325" spans="3:13" ht="14.4">
      <c r="C325" s="3"/>
      <c r="E325" s="4"/>
      <c r="L325" s="1"/>
      <c r="M325" s="1"/>
    </row>
    <row r="326" spans="3:13" ht="14.4">
      <c r="C326" s="3"/>
      <c r="E326" s="4"/>
      <c r="L326" s="1"/>
      <c r="M326" s="1"/>
    </row>
    <row r="327" spans="3:13" ht="14.4">
      <c r="C327" s="3"/>
      <c r="E327" s="4"/>
      <c r="L327" s="1"/>
      <c r="M327" s="1"/>
    </row>
    <row r="328" spans="3:13" ht="14.4">
      <c r="C328" s="3"/>
      <c r="E328" s="4"/>
      <c r="L328" s="1"/>
      <c r="M328" s="1"/>
    </row>
    <row r="329" spans="3:13" ht="14.4">
      <c r="C329" s="3"/>
      <c r="E329" s="4"/>
      <c r="L329" s="1"/>
      <c r="M329" s="1"/>
    </row>
    <row r="330" spans="3:13" ht="14.4">
      <c r="C330" s="3"/>
      <c r="E330" s="4"/>
      <c r="L330" s="1"/>
      <c r="M330" s="1"/>
    </row>
    <row r="331" spans="3:13" ht="14.4">
      <c r="C331" s="3"/>
      <c r="E331" s="4"/>
      <c r="L331" s="1"/>
      <c r="M331" s="1"/>
    </row>
    <row r="332" spans="3:13" ht="14.4">
      <c r="C332" s="3"/>
      <c r="E332" s="4"/>
      <c r="L332" s="1"/>
      <c r="M332" s="1"/>
    </row>
    <row r="333" spans="3:13" ht="14.4">
      <c r="C333" s="3"/>
      <c r="E333" s="4"/>
      <c r="L333" s="1"/>
      <c r="M333" s="1"/>
    </row>
    <row r="334" spans="3:13" ht="14.4">
      <c r="C334" s="3"/>
      <c r="E334" s="4"/>
      <c r="L334" s="1"/>
      <c r="M334" s="1"/>
    </row>
    <row r="335" spans="3:13" ht="14.4">
      <c r="C335" s="3"/>
      <c r="E335" s="4"/>
      <c r="L335" s="1"/>
      <c r="M335" s="1"/>
    </row>
    <row r="336" spans="3:13" ht="14.4">
      <c r="C336" s="3"/>
      <c r="E336" s="4"/>
      <c r="L336" s="1"/>
      <c r="M336" s="1"/>
    </row>
    <row r="337" spans="3:13" ht="14.4">
      <c r="C337" s="3"/>
      <c r="E337" s="4"/>
      <c r="L337" s="1"/>
      <c r="M337" s="1"/>
    </row>
    <row r="338" spans="3:13" ht="14.4">
      <c r="C338" s="3"/>
      <c r="E338" s="4"/>
      <c r="L338" s="1"/>
      <c r="M338" s="1"/>
    </row>
    <row r="339" spans="3:13" ht="14.4">
      <c r="C339" s="3"/>
      <c r="E339" s="4"/>
      <c r="L339" s="1"/>
      <c r="M339" s="1"/>
    </row>
    <row r="340" spans="3:13" ht="14.4">
      <c r="C340" s="3"/>
      <c r="E340" s="4"/>
      <c r="L340" s="1"/>
      <c r="M340" s="1"/>
    </row>
    <row r="341" spans="3:13" ht="14.4">
      <c r="C341" s="3"/>
      <c r="E341" s="4"/>
      <c r="L341" s="1"/>
      <c r="M341" s="1"/>
    </row>
    <row r="342" spans="3:13" ht="14.4">
      <c r="C342" s="3"/>
      <c r="E342" s="4"/>
      <c r="L342" s="1"/>
      <c r="M342" s="1"/>
    </row>
    <row r="343" spans="3:13" ht="14.4">
      <c r="C343" s="3"/>
      <c r="E343" s="4"/>
      <c r="L343" s="1"/>
      <c r="M343" s="1"/>
    </row>
    <row r="344" spans="3:13" ht="14.4">
      <c r="C344" s="3"/>
      <c r="E344" s="4"/>
      <c r="L344" s="1"/>
      <c r="M344" s="1"/>
    </row>
    <row r="345" spans="3:13" ht="14.4">
      <c r="C345" s="3"/>
      <c r="E345" s="4"/>
      <c r="L345" s="1"/>
      <c r="M345" s="1"/>
    </row>
    <row r="346" spans="3:13" ht="14.4">
      <c r="C346" s="3"/>
      <c r="E346" s="4"/>
      <c r="L346" s="1"/>
      <c r="M346" s="1"/>
    </row>
    <row r="347" spans="3:13" ht="14.4">
      <c r="C347" s="3"/>
      <c r="E347" s="4"/>
      <c r="L347" s="1"/>
      <c r="M347" s="1"/>
    </row>
    <row r="348" spans="3:13" ht="14.4">
      <c r="C348" s="3"/>
      <c r="E348" s="4"/>
      <c r="L348" s="1"/>
      <c r="M348" s="1"/>
    </row>
    <row r="349" spans="3:13" ht="14.4">
      <c r="C349" s="3"/>
      <c r="E349" s="4"/>
      <c r="L349" s="1"/>
      <c r="M349" s="1"/>
    </row>
    <row r="350" spans="3:13" ht="14.4">
      <c r="C350" s="3"/>
      <c r="E350" s="4"/>
      <c r="L350" s="1"/>
      <c r="M350" s="1"/>
    </row>
    <row r="351" spans="3:13" ht="14.4">
      <c r="C351" s="3"/>
      <c r="E351" s="4"/>
      <c r="L351" s="1"/>
      <c r="M351" s="1"/>
    </row>
    <row r="352" spans="3:13" ht="14.4">
      <c r="C352" s="3"/>
      <c r="E352" s="4"/>
      <c r="L352" s="1"/>
      <c r="M352" s="1"/>
    </row>
    <row r="353" spans="3:13" ht="14.4">
      <c r="C353" s="3"/>
      <c r="E353" s="4"/>
      <c r="L353" s="1"/>
      <c r="M353" s="1"/>
    </row>
    <row r="354" spans="3:13" ht="14.4">
      <c r="C354" s="3"/>
      <c r="E354" s="4"/>
      <c r="L354" s="1"/>
      <c r="M354" s="1"/>
    </row>
    <row r="355" spans="3:13" ht="14.4">
      <c r="C355" s="3"/>
      <c r="E355" s="4"/>
      <c r="L355" s="1"/>
      <c r="M355" s="1"/>
    </row>
    <row r="356" spans="3:13" ht="14.4">
      <c r="C356" s="3"/>
      <c r="E356" s="4"/>
      <c r="L356" s="1"/>
      <c r="M356" s="1"/>
    </row>
    <row r="357" spans="3:13" ht="14.4">
      <c r="C357" s="3"/>
      <c r="E357" s="4"/>
      <c r="L357" s="1"/>
      <c r="M357" s="1"/>
    </row>
    <row r="358" spans="3:13" ht="14.4">
      <c r="C358" s="3"/>
      <c r="E358" s="4"/>
      <c r="L358" s="1"/>
      <c r="M358" s="1"/>
    </row>
    <row r="359" spans="3:13" ht="14.4">
      <c r="C359" s="3"/>
      <c r="E359" s="4"/>
      <c r="L359" s="1"/>
      <c r="M359" s="1"/>
    </row>
    <row r="360" spans="3:13" ht="14.4">
      <c r="C360" s="3"/>
      <c r="E360" s="4"/>
      <c r="L360" s="1"/>
      <c r="M360" s="1"/>
    </row>
    <row r="361" spans="3:13" ht="14.4">
      <c r="C361" s="3"/>
      <c r="E361" s="4"/>
      <c r="L361" s="1"/>
      <c r="M361" s="1"/>
    </row>
    <row r="362" spans="3:13" ht="14.4">
      <c r="C362" s="3"/>
      <c r="E362" s="4"/>
      <c r="L362" s="1"/>
      <c r="M362" s="1"/>
    </row>
    <row r="363" spans="3:13" ht="14.4">
      <c r="C363" s="3"/>
      <c r="E363" s="4"/>
      <c r="L363" s="1"/>
      <c r="M363" s="1"/>
    </row>
    <row r="364" spans="3:13" ht="14.4">
      <c r="C364" s="3"/>
      <c r="E364" s="4"/>
      <c r="L364" s="1"/>
      <c r="M364" s="1"/>
    </row>
    <row r="365" spans="3:13" ht="14.4">
      <c r="C365" s="3"/>
      <c r="E365" s="4"/>
      <c r="L365" s="1"/>
      <c r="M365" s="1"/>
    </row>
    <row r="366" spans="3:13" ht="14.4">
      <c r="C366" s="3"/>
      <c r="E366" s="4"/>
      <c r="L366" s="1"/>
      <c r="M366" s="1"/>
    </row>
    <row r="367" spans="3:13" ht="14.4">
      <c r="C367" s="3"/>
      <c r="E367" s="4"/>
      <c r="L367" s="1"/>
      <c r="M367" s="1"/>
    </row>
    <row r="368" spans="3:13" ht="14.4">
      <c r="C368" s="3"/>
      <c r="E368" s="4"/>
      <c r="L368" s="1"/>
      <c r="M368" s="1"/>
    </row>
    <row r="369" spans="3:13" ht="14.4">
      <c r="C369" s="3"/>
      <c r="E369" s="4"/>
      <c r="L369" s="1"/>
      <c r="M369" s="1"/>
    </row>
    <row r="370" spans="3:13" ht="14.4">
      <c r="C370" s="3"/>
      <c r="E370" s="4"/>
      <c r="L370" s="1"/>
      <c r="M370" s="1"/>
    </row>
    <row r="371" spans="3:13" ht="14.4">
      <c r="C371" s="3"/>
      <c r="E371" s="4"/>
      <c r="L371" s="1"/>
      <c r="M371" s="1"/>
    </row>
    <row r="372" spans="3:13" ht="14.4">
      <c r="C372" s="3"/>
      <c r="E372" s="4"/>
      <c r="L372" s="1"/>
      <c r="M372" s="1"/>
    </row>
    <row r="373" spans="3:13" ht="14.4">
      <c r="C373" s="3"/>
      <c r="E373" s="4"/>
      <c r="L373" s="1"/>
      <c r="M373" s="1"/>
    </row>
    <row r="374" spans="3:13" ht="14.4">
      <c r="C374" s="3"/>
      <c r="E374" s="4"/>
      <c r="L374" s="1"/>
      <c r="M374" s="1"/>
    </row>
    <row r="375" spans="3:13" ht="14.4">
      <c r="C375" s="3"/>
      <c r="E375" s="4"/>
      <c r="L375" s="1"/>
      <c r="M375" s="1"/>
    </row>
    <row r="376" spans="3:13" ht="14.4">
      <c r="C376" s="3"/>
      <c r="E376" s="4"/>
      <c r="L376" s="1"/>
      <c r="M376" s="1"/>
    </row>
    <row r="377" spans="3:13" ht="14.4">
      <c r="C377" s="3"/>
      <c r="E377" s="4"/>
      <c r="L377" s="1"/>
      <c r="M377" s="1"/>
    </row>
    <row r="378" spans="3:13" ht="14.4">
      <c r="C378" s="3"/>
      <c r="E378" s="4"/>
      <c r="L378" s="1"/>
      <c r="M378" s="1"/>
    </row>
    <row r="379" spans="3:13" ht="14.4">
      <c r="C379" s="3"/>
      <c r="E379" s="4"/>
      <c r="L379" s="1"/>
      <c r="M379" s="1"/>
    </row>
    <row r="380" spans="3:13" ht="14.4">
      <c r="C380" s="3"/>
      <c r="E380" s="4"/>
      <c r="L380" s="1"/>
      <c r="M380" s="1"/>
    </row>
    <row r="381" spans="3:13" ht="14.4">
      <c r="C381" s="3"/>
      <c r="E381" s="4"/>
      <c r="L381" s="1"/>
      <c r="M381" s="1"/>
    </row>
    <row r="382" spans="3:13" ht="14.4">
      <c r="C382" s="3"/>
      <c r="E382" s="4"/>
      <c r="L382" s="1"/>
      <c r="M382" s="1"/>
    </row>
    <row r="383" spans="3:13" ht="14.4">
      <c r="C383" s="3"/>
      <c r="E383" s="4"/>
      <c r="L383" s="1"/>
      <c r="M383" s="1"/>
    </row>
    <row r="384" spans="3:13" ht="14.4">
      <c r="C384" s="3"/>
      <c r="E384" s="4"/>
      <c r="L384" s="1"/>
      <c r="M384" s="1"/>
    </row>
    <row r="385" spans="3:13" ht="14.4">
      <c r="C385" s="3"/>
      <c r="E385" s="4"/>
      <c r="L385" s="1"/>
      <c r="M385" s="1"/>
    </row>
    <row r="386" spans="3:13" ht="14.4">
      <c r="C386" s="3"/>
      <c r="E386" s="4"/>
      <c r="L386" s="1"/>
      <c r="M386" s="1"/>
    </row>
    <row r="387" spans="3:13" ht="14.4">
      <c r="C387" s="3"/>
      <c r="E387" s="4"/>
      <c r="L387" s="1"/>
      <c r="M387" s="1"/>
    </row>
    <row r="388" spans="3:13" ht="14.4">
      <c r="C388" s="3"/>
      <c r="E388" s="4"/>
      <c r="L388" s="1"/>
      <c r="M388" s="1"/>
    </row>
    <row r="389" spans="3:13" ht="14.4">
      <c r="C389" s="3"/>
      <c r="E389" s="4"/>
      <c r="L389" s="1"/>
      <c r="M389" s="1"/>
    </row>
    <row r="390" spans="3:13" ht="14.4">
      <c r="C390" s="3"/>
      <c r="E390" s="4"/>
      <c r="L390" s="1"/>
      <c r="M390" s="1"/>
    </row>
    <row r="391" spans="3:13" ht="14.4">
      <c r="C391" s="3"/>
      <c r="E391" s="4"/>
      <c r="L391" s="1"/>
      <c r="M391" s="1"/>
    </row>
    <row r="392" spans="3:13" ht="14.4">
      <c r="C392" s="3"/>
      <c r="E392" s="4"/>
      <c r="L392" s="1"/>
      <c r="M392" s="1"/>
    </row>
    <row r="393" spans="3:13" ht="14.4">
      <c r="C393" s="3"/>
      <c r="E393" s="4"/>
      <c r="L393" s="1"/>
      <c r="M393" s="1"/>
    </row>
    <row r="394" spans="3:13" ht="14.4">
      <c r="C394" s="3"/>
      <c r="E394" s="4"/>
      <c r="L394" s="1"/>
      <c r="M394" s="1"/>
    </row>
    <row r="395" spans="3:13" ht="14.4">
      <c r="C395" s="3"/>
      <c r="E395" s="4"/>
      <c r="L395" s="1"/>
      <c r="M395" s="1"/>
    </row>
    <row r="396" spans="3:13" ht="14.4">
      <c r="C396" s="3"/>
      <c r="E396" s="4"/>
      <c r="L396" s="1"/>
      <c r="M396" s="1"/>
    </row>
    <row r="397" spans="3:13" ht="14.4">
      <c r="C397" s="3"/>
      <c r="E397" s="4"/>
      <c r="L397" s="1"/>
      <c r="M397" s="1"/>
    </row>
    <row r="398" spans="3:13" ht="14.4">
      <c r="C398" s="3"/>
      <c r="E398" s="4"/>
      <c r="L398" s="1"/>
      <c r="M398" s="1"/>
    </row>
    <row r="399" spans="3:13" ht="14.4">
      <c r="C399" s="3"/>
      <c r="E399" s="4"/>
      <c r="L399" s="1"/>
      <c r="M399" s="1"/>
    </row>
    <row r="400" spans="3:13" ht="14.4">
      <c r="C400" s="3"/>
      <c r="E400" s="4"/>
      <c r="L400" s="1"/>
      <c r="M400" s="1"/>
    </row>
    <row r="401" spans="3:13" ht="14.4">
      <c r="C401" s="3"/>
      <c r="E401" s="4"/>
      <c r="L401" s="1"/>
      <c r="M401" s="1"/>
    </row>
    <row r="402" spans="3:13" ht="14.4">
      <c r="C402" s="3"/>
      <c r="E402" s="4"/>
      <c r="L402" s="1"/>
      <c r="M402" s="1"/>
    </row>
    <row r="403" spans="3:13" ht="14.4">
      <c r="C403" s="3"/>
      <c r="E403" s="4"/>
      <c r="L403" s="1"/>
      <c r="M403" s="1"/>
    </row>
    <row r="404" spans="3:13" ht="14.4">
      <c r="C404" s="3"/>
      <c r="E404" s="4"/>
      <c r="L404" s="1"/>
      <c r="M404" s="1"/>
    </row>
    <row r="405" spans="3:13" ht="14.4">
      <c r="C405" s="3"/>
      <c r="E405" s="4"/>
      <c r="L405" s="1"/>
      <c r="M405" s="1"/>
    </row>
    <row r="406" spans="3:13" ht="14.4">
      <c r="C406" s="3"/>
      <c r="E406" s="4"/>
      <c r="L406" s="1"/>
      <c r="M406" s="1"/>
    </row>
    <row r="407" spans="3:13" ht="14.4">
      <c r="C407" s="3"/>
      <c r="E407" s="4"/>
      <c r="L407" s="1"/>
      <c r="M407" s="1"/>
    </row>
    <row r="408" spans="3:13" ht="14.4">
      <c r="C408" s="3"/>
      <c r="E408" s="4"/>
      <c r="L408" s="1"/>
      <c r="M408" s="1"/>
    </row>
    <row r="409" spans="3:13" ht="14.4">
      <c r="C409" s="3"/>
      <c r="E409" s="4"/>
      <c r="L409" s="1"/>
      <c r="M409" s="1"/>
    </row>
    <row r="410" spans="3:13" ht="14.4">
      <c r="C410" s="3"/>
      <c r="E410" s="4"/>
      <c r="L410" s="1"/>
      <c r="M410" s="1"/>
    </row>
    <row r="411" spans="3:13" ht="14.4">
      <c r="C411" s="3"/>
      <c r="E411" s="4"/>
      <c r="L411" s="1"/>
      <c r="M411" s="1"/>
    </row>
    <row r="412" spans="3:13" ht="14.4">
      <c r="C412" s="3"/>
      <c r="E412" s="4"/>
      <c r="L412" s="1"/>
      <c r="M412" s="1"/>
    </row>
    <row r="413" spans="3:13" ht="14.4">
      <c r="C413" s="3"/>
      <c r="E413" s="4"/>
      <c r="L413" s="1"/>
      <c r="M413" s="1"/>
    </row>
    <row r="414" spans="3:13" ht="14.4">
      <c r="C414" s="3"/>
      <c r="E414" s="4"/>
      <c r="L414" s="1"/>
      <c r="M414" s="1"/>
    </row>
    <row r="415" spans="3:13" ht="14.4">
      <c r="C415" s="3"/>
      <c r="E415" s="4"/>
      <c r="L415" s="1"/>
      <c r="M415" s="1"/>
    </row>
    <row r="416" spans="3:13" ht="14.4">
      <c r="C416" s="3"/>
      <c r="E416" s="4"/>
      <c r="L416" s="1"/>
      <c r="M416" s="1"/>
    </row>
    <row r="417" spans="3:13" ht="14.4">
      <c r="C417" s="3"/>
      <c r="E417" s="4"/>
      <c r="L417" s="1"/>
      <c r="M417" s="1"/>
    </row>
    <row r="418" spans="3:13" ht="14.4">
      <c r="C418" s="3"/>
      <c r="E418" s="4"/>
      <c r="L418" s="1"/>
      <c r="M418" s="1"/>
    </row>
    <row r="419" spans="3:13" ht="14.4">
      <c r="C419" s="3"/>
      <c r="E419" s="4"/>
      <c r="L419" s="1"/>
      <c r="M419" s="1"/>
    </row>
    <row r="420" spans="3:13" ht="14.4">
      <c r="C420" s="3"/>
      <c r="E420" s="4"/>
      <c r="L420" s="1"/>
      <c r="M420" s="1"/>
    </row>
    <row r="421" spans="3:13" ht="14.4">
      <c r="C421" s="3"/>
      <c r="E421" s="4"/>
      <c r="L421" s="1"/>
      <c r="M421" s="1"/>
    </row>
    <row r="422" spans="3:13" ht="14.4">
      <c r="C422" s="3"/>
      <c r="E422" s="4"/>
      <c r="L422" s="1"/>
      <c r="M422" s="1"/>
    </row>
    <row r="423" spans="3:13" ht="14.4">
      <c r="C423" s="3"/>
      <c r="E423" s="4"/>
      <c r="L423" s="1"/>
      <c r="M423" s="1"/>
    </row>
    <row r="424" spans="3:13" ht="14.4">
      <c r="C424" s="3"/>
      <c r="E424" s="4"/>
      <c r="L424" s="1"/>
      <c r="M424" s="1"/>
    </row>
    <row r="425" spans="3:13" ht="14.4">
      <c r="C425" s="3"/>
      <c r="E425" s="4"/>
      <c r="L425" s="1"/>
      <c r="M425" s="1"/>
    </row>
    <row r="426" spans="3:13" ht="14.4">
      <c r="C426" s="3"/>
      <c r="E426" s="4"/>
      <c r="L426" s="1"/>
      <c r="M426" s="1"/>
    </row>
    <row r="427" spans="3:13" ht="14.4">
      <c r="C427" s="3"/>
      <c r="E427" s="4"/>
      <c r="L427" s="1"/>
      <c r="M427" s="1"/>
    </row>
    <row r="428" spans="3:13" ht="14.4">
      <c r="C428" s="3"/>
      <c r="E428" s="4"/>
      <c r="L428" s="1"/>
      <c r="M428" s="1"/>
    </row>
    <row r="429" spans="3:13" ht="14.4">
      <c r="C429" s="3"/>
      <c r="E429" s="4"/>
      <c r="L429" s="1"/>
      <c r="M429" s="1"/>
    </row>
    <row r="430" spans="3:13" ht="14.4">
      <c r="C430" s="3"/>
      <c r="E430" s="4"/>
      <c r="L430" s="1"/>
      <c r="M430" s="1"/>
    </row>
    <row r="431" spans="3:13" ht="14.4">
      <c r="C431" s="3"/>
      <c r="E431" s="4"/>
      <c r="L431" s="1"/>
      <c r="M431" s="1"/>
    </row>
    <row r="432" spans="3:13" ht="14.4">
      <c r="C432" s="3"/>
      <c r="E432" s="4"/>
      <c r="L432" s="1"/>
      <c r="M432" s="1"/>
    </row>
    <row r="433" spans="3:13" ht="14.4">
      <c r="C433" s="3"/>
      <c r="E433" s="4"/>
      <c r="L433" s="1"/>
      <c r="M433" s="1"/>
    </row>
    <row r="434" spans="3:13" ht="14.4">
      <c r="C434" s="3"/>
      <c r="E434" s="4"/>
      <c r="L434" s="1"/>
      <c r="M434" s="1"/>
    </row>
    <row r="435" spans="3:13" ht="14.4">
      <c r="C435" s="3"/>
      <c r="E435" s="4"/>
      <c r="L435" s="1"/>
      <c r="M435" s="1"/>
    </row>
    <row r="436" spans="3:13" ht="14.4">
      <c r="C436" s="3"/>
      <c r="E436" s="4"/>
      <c r="L436" s="1"/>
      <c r="M436" s="1"/>
    </row>
    <row r="437" spans="3:13" ht="14.4">
      <c r="C437" s="3"/>
      <c r="E437" s="4"/>
      <c r="L437" s="1"/>
      <c r="M437" s="1"/>
    </row>
    <row r="438" spans="3:13" ht="14.4">
      <c r="C438" s="3"/>
      <c r="E438" s="4"/>
      <c r="L438" s="1"/>
      <c r="M438" s="1"/>
    </row>
    <row r="439" spans="3:13" ht="14.4">
      <c r="C439" s="3"/>
      <c r="E439" s="4"/>
      <c r="L439" s="1"/>
      <c r="M439" s="1"/>
    </row>
    <row r="440" spans="3:13" ht="14.4">
      <c r="C440" s="3"/>
      <c r="E440" s="4"/>
      <c r="L440" s="1"/>
      <c r="M440" s="1"/>
    </row>
    <row r="441" spans="3:13" ht="14.4">
      <c r="C441" s="3"/>
      <c r="E441" s="4"/>
      <c r="L441" s="1"/>
      <c r="M441" s="1"/>
    </row>
    <row r="442" spans="3:13" ht="14.4">
      <c r="C442" s="3"/>
      <c r="E442" s="4"/>
      <c r="L442" s="1"/>
      <c r="M442" s="1"/>
    </row>
    <row r="443" spans="3:13" ht="14.4">
      <c r="C443" s="3"/>
      <c r="E443" s="4"/>
      <c r="L443" s="1"/>
      <c r="M443" s="1"/>
    </row>
    <row r="444" spans="3:13" ht="14.4">
      <c r="C444" s="3"/>
      <c r="E444" s="4"/>
      <c r="L444" s="1"/>
      <c r="M444" s="1"/>
    </row>
    <row r="445" spans="3:13" ht="14.4">
      <c r="C445" s="3"/>
      <c r="E445" s="4"/>
      <c r="L445" s="1"/>
      <c r="M445" s="1"/>
    </row>
    <row r="446" spans="3:13" ht="14.4">
      <c r="C446" s="3"/>
      <c r="E446" s="4"/>
      <c r="L446" s="1"/>
      <c r="M446" s="1"/>
    </row>
    <row r="447" spans="3:13" ht="14.4">
      <c r="C447" s="3"/>
      <c r="E447" s="4"/>
      <c r="L447" s="1"/>
      <c r="M447" s="1"/>
    </row>
    <row r="448" spans="3:13" ht="14.4">
      <c r="C448" s="3"/>
      <c r="E448" s="4"/>
      <c r="L448" s="1"/>
      <c r="M448" s="1"/>
    </row>
    <row r="449" spans="3:13" ht="14.4">
      <c r="C449" s="3"/>
      <c r="E449" s="4"/>
      <c r="L449" s="1"/>
      <c r="M449" s="1"/>
    </row>
    <row r="450" spans="3:13" ht="14.4">
      <c r="C450" s="3"/>
      <c r="E450" s="4"/>
      <c r="L450" s="1"/>
      <c r="M450" s="1"/>
    </row>
    <row r="451" spans="3:13" ht="14.4">
      <c r="C451" s="3"/>
      <c r="E451" s="4"/>
      <c r="L451" s="1"/>
      <c r="M451" s="1"/>
    </row>
    <row r="452" spans="3:13" ht="14.4">
      <c r="C452" s="3"/>
      <c r="E452" s="4"/>
      <c r="L452" s="1"/>
      <c r="M452" s="1"/>
    </row>
    <row r="453" spans="3:13" ht="14.4">
      <c r="C453" s="3"/>
      <c r="E453" s="4"/>
      <c r="L453" s="1"/>
      <c r="M453" s="1"/>
    </row>
    <row r="454" spans="3:13" ht="14.4">
      <c r="C454" s="3"/>
      <c r="E454" s="4"/>
      <c r="L454" s="1"/>
      <c r="M454" s="1"/>
    </row>
    <row r="455" spans="3:13" ht="14.4">
      <c r="C455" s="3"/>
      <c r="E455" s="4"/>
      <c r="L455" s="1"/>
      <c r="M455" s="1"/>
    </row>
    <row r="456" spans="3:13" ht="14.4">
      <c r="C456" s="3"/>
      <c r="E456" s="4"/>
      <c r="L456" s="1"/>
      <c r="M456" s="1"/>
    </row>
    <row r="457" spans="3:13" ht="14.4">
      <c r="C457" s="3"/>
      <c r="E457" s="4"/>
      <c r="L457" s="1"/>
      <c r="M457" s="1"/>
    </row>
    <row r="458" spans="3:13" ht="14.4">
      <c r="C458" s="3"/>
      <c r="E458" s="4"/>
      <c r="L458" s="1"/>
      <c r="M458" s="1"/>
    </row>
    <row r="459" spans="3:13" ht="14.4">
      <c r="C459" s="3"/>
      <c r="E459" s="4"/>
      <c r="L459" s="1"/>
      <c r="M459" s="1"/>
    </row>
    <row r="460" spans="3:13" ht="14.4">
      <c r="C460" s="3"/>
      <c r="E460" s="4"/>
      <c r="L460" s="1"/>
      <c r="M460" s="1"/>
    </row>
    <row r="461" spans="3:13" ht="14.4">
      <c r="C461" s="3"/>
      <c r="E461" s="4"/>
      <c r="L461" s="1"/>
      <c r="M461" s="1"/>
    </row>
    <row r="462" spans="3:13" ht="14.4">
      <c r="C462" s="3"/>
      <c r="E462" s="4"/>
      <c r="L462" s="1"/>
      <c r="M462" s="1"/>
    </row>
    <row r="463" spans="3:13" ht="14.4">
      <c r="C463" s="3"/>
      <c r="E463" s="4"/>
      <c r="L463" s="1"/>
      <c r="M463" s="1"/>
    </row>
    <row r="464" spans="3:13" ht="14.4">
      <c r="C464" s="3"/>
      <c r="E464" s="4"/>
      <c r="L464" s="1"/>
      <c r="M464" s="1"/>
    </row>
    <row r="465" spans="3:13" ht="14.4">
      <c r="C465" s="3"/>
      <c r="E465" s="4"/>
      <c r="L465" s="1"/>
      <c r="M465" s="1"/>
    </row>
    <row r="466" spans="3:13" ht="14.4">
      <c r="C466" s="3"/>
      <c r="E466" s="4"/>
      <c r="L466" s="1"/>
      <c r="M466" s="1"/>
    </row>
    <row r="467" spans="3:13" ht="14.4">
      <c r="C467" s="3"/>
      <c r="E467" s="4"/>
      <c r="L467" s="1"/>
      <c r="M467" s="1"/>
    </row>
    <row r="468" spans="3:13" ht="14.4">
      <c r="C468" s="3"/>
      <c r="E468" s="4"/>
      <c r="L468" s="1"/>
      <c r="M468" s="1"/>
    </row>
    <row r="469" spans="3:13" ht="14.4">
      <c r="C469" s="3"/>
      <c r="E469" s="4"/>
      <c r="L469" s="1"/>
      <c r="M469" s="1"/>
    </row>
    <row r="470" spans="3:13" ht="14.4">
      <c r="C470" s="3"/>
      <c r="E470" s="4"/>
      <c r="L470" s="1"/>
      <c r="M470" s="1"/>
    </row>
    <row r="471" spans="3:13" ht="14.4">
      <c r="C471" s="3"/>
      <c r="E471" s="4"/>
      <c r="L471" s="1"/>
      <c r="M471" s="1"/>
    </row>
    <row r="472" spans="3:13" ht="14.4">
      <c r="C472" s="3"/>
      <c r="E472" s="4"/>
      <c r="L472" s="1"/>
      <c r="M472" s="1"/>
    </row>
    <row r="473" spans="3:13" ht="14.4">
      <c r="C473" s="3"/>
      <c r="E473" s="4"/>
      <c r="L473" s="1"/>
      <c r="M473" s="1"/>
    </row>
    <row r="474" spans="3:13" ht="14.4">
      <c r="C474" s="3"/>
      <c r="E474" s="4"/>
      <c r="L474" s="1"/>
      <c r="M474" s="1"/>
    </row>
    <row r="475" spans="3:13" ht="14.4">
      <c r="C475" s="3"/>
      <c r="E475" s="4"/>
      <c r="L475" s="1"/>
      <c r="M475" s="1"/>
    </row>
    <row r="476" spans="3:13" ht="14.4">
      <c r="C476" s="3"/>
      <c r="E476" s="4"/>
      <c r="L476" s="1"/>
      <c r="M476" s="1"/>
    </row>
    <row r="477" spans="3:13" ht="14.4">
      <c r="C477" s="3"/>
      <c r="E477" s="4"/>
      <c r="L477" s="1"/>
      <c r="M477" s="1"/>
    </row>
    <row r="478" spans="3:13" ht="14.4">
      <c r="C478" s="3"/>
      <c r="E478" s="4"/>
      <c r="L478" s="1"/>
      <c r="M478" s="1"/>
    </row>
    <row r="479" spans="3:13" ht="14.4">
      <c r="C479" s="3"/>
      <c r="E479" s="4"/>
      <c r="L479" s="1"/>
      <c r="M479" s="1"/>
    </row>
    <row r="480" spans="3:13" ht="14.4">
      <c r="C480" s="3"/>
      <c r="E480" s="4"/>
      <c r="L480" s="1"/>
      <c r="M480" s="1"/>
    </row>
    <row r="481" spans="3:13" ht="14.4">
      <c r="C481" s="3"/>
      <c r="E481" s="4"/>
      <c r="L481" s="1"/>
      <c r="M481" s="1"/>
    </row>
    <row r="482" spans="3:13" ht="14.4">
      <c r="C482" s="3"/>
      <c r="E482" s="4"/>
      <c r="L482" s="1"/>
      <c r="M482" s="1"/>
    </row>
    <row r="483" spans="3:13" ht="14.4">
      <c r="C483" s="3"/>
      <c r="E483" s="4"/>
      <c r="L483" s="1"/>
      <c r="M483" s="1"/>
    </row>
    <row r="484" spans="3:13" ht="14.4">
      <c r="C484" s="3"/>
      <c r="E484" s="4"/>
      <c r="L484" s="1"/>
      <c r="M484" s="1"/>
    </row>
    <row r="485" spans="3:13" ht="14.4">
      <c r="C485" s="3"/>
      <c r="E485" s="4"/>
      <c r="L485" s="1"/>
      <c r="M485" s="1"/>
    </row>
    <row r="486" spans="3:13" ht="14.4">
      <c r="C486" s="3"/>
      <c r="E486" s="4"/>
      <c r="L486" s="1"/>
      <c r="M486" s="1"/>
    </row>
    <row r="487" spans="3:13" ht="14.4">
      <c r="C487" s="3"/>
      <c r="E487" s="4"/>
      <c r="L487" s="1"/>
      <c r="M487" s="1"/>
    </row>
    <row r="488" spans="3:13" ht="14.4">
      <c r="C488" s="3"/>
      <c r="E488" s="4"/>
      <c r="L488" s="1"/>
      <c r="M488" s="1"/>
    </row>
    <row r="489" spans="3:13" ht="14.4">
      <c r="C489" s="3"/>
      <c r="E489" s="4"/>
      <c r="L489" s="1"/>
      <c r="M489" s="1"/>
    </row>
    <row r="490" spans="3:13" ht="14.4">
      <c r="C490" s="3"/>
      <c r="E490" s="4"/>
      <c r="L490" s="1"/>
      <c r="M490" s="1"/>
    </row>
    <row r="491" spans="3:13" ht="14.4">
      <c r="C491" s="3"/>
      <c r="E491" s="4"/>
      <c r="L491" s="1"/>
      <c r="M491" s="1"/>
    </row>
    <row r="492" spans="3:13" ht="14.4">
      <c r="C492" s="3"/>
      <c r="E492" s="4"/>
      <c r="L492" s="1"/>
      <c r="M492" s="1"/>
    </row>
    <row r="493" spans="3:13" ht="14.4">
      <c r="C493" s="3"/>
      <c r="E493" s="4"/>
      <c r="L493" s="1"/>
      <c r="M493" s="1"/>
    </row>
    <row r="494" spans="3:13" ht="14.4">
      <c r="C494" s="3"/>
      <c r="E494" s="4"/>
      <c r="L494" s="1"/>
      <c r="M494" s="1"/>
    </row>
    <row r="495" spans="3:13" ht="14.4">
      <c r="C495" s="3"/>
      <c r="E495" s="4"/>
      <c r="L495" s="1"/>
      <c r="M495" s="1"/>
    </row>
    <row r="496" spans="3:13" ht="14.4">
      <c r="C496" s="3"/>
      <c r="E496" s="4"/>
      <c r="L496" s="1"/>
      <c r="M496" s="1"/>
    </row>
    <row r="497" spans="3:13" ht="14.4">
      <c r="C497" s="3"/>
      <c r="E497" s="4"/>
      <c r="L497" s="1"/>
      <c r="M497" s="1"/>
    </row>
    <row r="498" spans="3:13" ht="14.4">
      <c r="C498" s="3"/>
      <c r="E498" s="4"/>
      <c r="L498" s="1"/>
      <c r="M498" s="1"/>
    </row>
    <row r="499" spans="3:13" ht="14.4">
      <c r="C499" s="3"/>
      <c r="E499" s="4"/>
      <c r="L499" s="1"/>
      <c r="M499" s="1"/>
    </row>
    <row r="500" spans="3:13" ht="14.4">
      <c r="C500" s="3"/>
      <c r="E500" s="4"/>
      <c r="L500" s="1"/>
      <c r="M500" s="1"/>
    </row>
    <row r="501" spans="3:13" ht="14.4">
      <c r="C501" s="3"/>
      <c r="E501" s="4"/>
      <c r="L501" s="1"/>
      <c r="M501" s="1"/>
    </row>
    <row r="502" spans="3:13" ht="14.4">
      <c r="C502" s="3"/>
      <c r="E502" s="4"/>
      <c r="L502" s="1"/>
      <c r="M502" s="1"/>
    </row>
    <row r="503" spans="3:13" ht="14.4">
      <c r="C503" s="3"/>
      <c r="E503" s="4"/>
      <c r="L503" s="1"/>
      <c r="M503" s="1"/>
    </row>
    <row r="504" spans="3:13" ht="14.4">
      <c r="C504" s="3"/>
      <c r="E504" s="4"/>
      <c r="L504" s="1"/>
      <c r="M504" s="1"/>
    </row>
    <row r="505" spans="3:13" ht="14.4">
      <c r="C505" s="3"/>
      <c r="E505" s="4"/>
      <c r="L505" s="1"/>
      <c r="M505" s="1"/>
    </row>
    <row r="506" spans="3:13" ht="14.4">
      <c r="C506" s="3"/>
      <c r="E506" s="4"/>
      <c r="L506" s="1"/>
      <c r="M506" s="1"/>
    </row>
    <row r="507" spans="3:13" ht="14.4">
      <c r="C507" s="3"/>
      <c r="E507" s="4"/>
      <c r="L507" s="1"/>
      <c r="M507" s="1"/>
    </row>
    <row r="508" spans="3:13" ht="14.4">
      <c r="C508" s="3"/>
      <c r="E508" s="4"/>
      <c r="L508" s="1"/>
      <c r="M508" s="1"/>
    </row>
    <row r="509" spans="3:13" ht="14.4">
      <c r="C509" s="3"/>
      <c r="E509" s="4"/>
      <c r="L509" s="1"/>
      <c r="M509" s="1"/>
    </row>
    <row r="510" spans="3:13" ht="14.4">
      <c r="C510" s="3"/>
      <c r="E510" s="4"/>
      <c r="L510" s="1"/>
      <c r="M510" s="1"/>
    </row>
    <row r="511" spans="3:13" ht="14.4">
      <c r="C511" s="3"/>
      <c r="E511" s="4"/>
      <c r="L511" s="1"/>
      <c r="M511" s="1"/>
    </row>
    <row r="512" spans="3:13" ht="14.4">
      <c r="C512" s="3"/>
      <c r="E512" s="4"/>
      <c r="L512" s="1"/>
      <c r="M512" s="1"/>
    </row>
    <row r="513" spans="3:13" ht="14.4">
      <c r="C513" s="3"/>
      <c r="E513" s="4"/>
      <c r="L513" s="1"/>
      <c r="M513" s="1"/>
    </row>
    <row r="514" spans="3:13" ht="14.4">
      <c r="C514" s="3"/>
      <c r="E514" s="4"/>
      <c r="L514" s="1"/>
      <c r="M514" s="1"/>
    </row>
    <row r="515" spans="3:13" ht="14.4">
      <c r="C515" s="3"/>
      <c r="E515" s="4"/>
      <c r="L515" s="1"/>
      <c r="M515" s="1"/>
    </row>
    <row r="516" spans="3:13" ht="14.4">
      <c r="C516" s="3"/>
      <c r="E516" s="4"/>
      <c r="L516" s="1"/>
      <c r="M516" s="1"/>
    </row>
    <row r="517" spans="3:13" ht="14.4">
      <c r="C517" s="3"/>
      <c r="E517" s="4"/>
      <c r="L517" s="1"/>
      <c r="M517" s="1"/>
    </row>
    <row r="518" spans="3:13" ht="14.4">
      <c r="C518" s="3"/>
      <c r="E518" s="4"/>
      <c r="L518" s="1"/>
      <c r="M518" s="1"/>
    </row>
    <row r="519" spans="3:13" ht="14.4">
      <c r="C519" s="3"/>
      <c r="E519" s="4"/>
      <c r="L519" s="1"/>
      <c r="M519" s="1"/>
    </row>
    <row r="520" spans="3:13" ht="14.4">
      <c r="C520" s="3"/>
      <c r="E520" s="4"/>
      <c r="L520" s="1"/>
      <c r="M520" s="1"/>
    </row>
    <row r="521" spans="3:13" ht="14.4">
      <c r="C521" s="3"/>
      <c r="E521" s="4"/>
      <c r="L521" s="1"/>
      <c r="M521" s="1"/>
    </row>
    <row r="522" spans="3:13" ht="14.4">
      <c r="C522" s="3"/>
      <c r="E522" s="4"/>
      <c r="L522" s="1"/>
      <c r="M522" s="1"/>
    </row>
    <row r="523" spans="3:13" ht="14.4">
      <c r="C523" s="3"/>
      <c r="E523" s="4"/>
      <c r="L523" s="1"/>
      <c r="M523" s="1"/>
    </row>
    <row r="524" spans="3:13" ht="14.4">
      <c r="C524" s="3"/>
      <c r="E524" s="4"/>
      <c r="L524" s="1"/>
      <c r="M524" s="1"/>
    </row>
    <row r="525" spans="3:13" ht="14.4">
      <c r="C525" s="3"/>
      <c r="E525" s="4"/>
      <c r="L525" s="1"/>
      <c r="M525" s="1"/>
    </row>
    <row r="526" spans="3:13" ht="14.4">
      <c r="C526" s="3"/>
      <c r="E526" s="4"/>
      <c r="L526" s="1"/>
      <c r="M526" s="1"/>
    </row>
    <row r="527" spans="3:13" ht="14.4">
      <c r="C527" s="3"/>
      <c r="E527" s="4"/>
      <c r="L527" s="1"/>
      <c r="M527" s="1"/>
    </row>
    <row r="528" spans="3:13" ht="14.4">
      <c r="C528" s="3"/>
      <c r="E528" s="4"/>
      <c r="L528" s="1"/>
      <c r="M528" s="1"/>
    </row>
    <row r="529" spans="3:13" ht="14.4">
      <c r="C529" s="3"/>
      <c r="E529" s="4"/>
      <c r="L529" s="1"/>
      <c r="M529" s="1"/>
    </row>
    <row r="530" spans="3:13" ht="14.4">
      <c r="C530" s="3"/>
      <c r="E530" s="4"/>
      <c r="L530" s="1"/>
      <c r="M530" s="1"/>
    </row>
    <row r="531" spans="3:13" ht="14.4">
      <c r="C531" s="3"/>
      <c r="E531" s="4"/>
      <c r="L531" s="1"/>
      <c r="M531" s="1"/>
    </row>
    <row r="532" spans="3:13" ht="14.4">
      <c r="C532" s="3"/>
      <c r="E532" s="4"/>
      <c r="L532" s="1"/>
      <c r="M532" s="1"/>
    </row>
    <row r="533" spans="3:13" ht="14.4">
      <c r="C533" s="3"/>
      <c r="E533" s="4"/>
      <c r="L533" s="1"/>
      <c r="M533" s="1"/>
    </row>
    <row r="534" spans="3:13" ht="14.4">
      <c r="C534" s="3"/>
      <c r="E534" s="4"/>
      <c r="L534" s="1"/>
      <c r="M534" s="1"/>
    </row>
    <row r="535" spans="3:13" ht="14.4">
      <c r="C535" s="3"/>
      <c r="E535" s="4"/>
      <c r="L535" s="1"/>
      <c r="M535" s="1"/>
    </row>
    <row r="536" spans="3:13" ht="14.4">
      <c r="C536" s="3"/>
      <c r="E536" s="4"/>
      <c r="L536" s="1"/>
      <c r="M536" s="1"/>
    </row>
    <row r="537" spans="3:13" ht="14.4">
      <c r="C537" s="3"/>
      <c r="E537" s="4"/>
      <c r="L537" s="1"/>
      <c r="M537" s="1"/>
    </row>
    <row r="538" spans="3:13" ht="14.4">
      <c r="C538" s="3"/>
      <c r="E538" s="4"/>
      <c r="L538" s="1"/>
      <c r="M538" s="1"/>
    </row>
    <row r="539" spans="3:13" ht="14.4">
      <c r="C539" s="3"/>
      <c r="E539" s="4"/>
      <c r="L539" s="1"/>
      <c r="M539" s="1"/>
    </row>
    <row r="540" spans="3:13" ht="14.4">
      <c r="C540" s="3"/>
      <c r="E540" s="4"/>
      <c r="L540" s="1"/>
      <c r="M540" s="1"/>
    </row>
    <row r="541" spans="3:13" ht="14.4">
      <c r="C541" s="3"/>
      <c r="E541" s="4"/>
      <c r="L541" s="1"/>
      <c r="M541" s="1"/>
    </row>
    <row r="542" spans="3:13" ht="14.4">
      <c r="C542" s="3"/>
      <c r="E542" s="4"/>
      <c r="L542" s="1"/>
      <c r="M542" s="1"/>
    </row>
    <row r="543" spans="3:13" ht="14.4">
      <c r="C543" s="3"/>
      <c r="E543" s="4"/>
      <c r="L543" s="1"/>
      <c r="M543" s="1"/>
    </row>
    <row r="544" spans="3:13" ht="14.4">
      <c r="C544" s="3"/>
      <c r="E544" s="4"/>
      <c r="L544" s="1"/>
      <c r="M544" s="1"/>
    </row>
    <row r="545" spans="3:13" ht="14.4">
      <c r="C545" s="3"/>
      <c r="E545" s="4"/>
      <c r="L545" s="1"/>
      <c r="M545" s="1"/>
    </row>
    <row r="546" spans="3:13" ht="14.4">
      <c r="C546" s="3"/>
      <c r="E546" s="4"/>
      <c r="L546" s="1"/>
      <c r="M546" s="1"/>
    </row>
    <row r="547" spans="3:13" ht="14.4">
      <c r="C547" s="3"/>
      <c r="E547" s="4"/>
      <c r="L547" s="1"/>
      <c r="M547" s="1"/>
    </row>
    <row r="548" spans="3:13" ht="14.4">
      <c r="C548" s="3"/>
      <c r="E548" s="4"/>
      <c r="L548" s="1"/>
      <c r="M548" s="1"/>
    </row>
    <row r="549" spans="3:13" ht="14.4">
      <c r="C549" s="3"/>
      <c r="E549" s="4"/>
      <c r="L549" s="1"/>
      <c r="M549" s="1"/>
    </row>
    <row r="550" spans="3:13" ht="14.4">
      <c r="C550" s="3"/>
      <c r="E550" s="4"/>
      <c r="L550" s="1"/>
      <c r="M550" s="1"/>
    </row>
    <row r="551" spans="3:13" ht="14.4">
      <c r="C551" s="3"/>
      <c r="E551" s="4"/>
      <c r="L551" s="1"/>
      <c r="M551" s="1"/>
    </row>
    <row r="552" spans="3:13" ht="14.4">
      <c r="C552" s="3"/>
      <c r="E552" s="4"/>
      <c r="L552" s="1"/>
      <c r="M552" s="1"/>
    </row>
    <row r="553" spans="3:13" ht="14.4">
      <c r="C553" s="3"/>
      <c r="E553" s="4"/>
      <c r="L553" s="1"/>
      <c r="M553" s="1"/>
    </row>
    <row r="554" spans="3:13" ht="14.4">
      <c r="C554" s="3"/>
      <c r="E554" s="4"/>
      <c r="L554" s="1"/>
      <c r="M554" s="1"/>
    </row>
    <row r="555" spans="3:13" ht="14.4">
      <c r="C555" s="3"/>
      <c r="E555" s="4"/>
      <c r="L555" s="1"/>
      <c r="M555" s="1"/>
    </row>
    <row r="556" spans="3:13" ht="14.4">
      <c r="C556" s="3"/>
      <c r="E556" s="4"/>
      <c r="L556" s="1"/>
      <c r="M556" s="1"/>
    </row>
    <row r="557" spans="3:13" ht="14.4">
      <c r="C557" s="3"/>
      <c r="E557" s="4"/>
      <c r="L557" s="1"/>
      <c r="M557" s="1"/>
    </row>
    <row r="558" spans="3:13" ht="14.4">
      <c r="C558" s="3"/>
      <c r="E558" s="4"/>
      <c r="L558" s="1"/>
      <c r="M558" s="1"/>
    </row>
    <row r="559" spans="3:13" ht="14.4">
      <c r="C559" s="3"/>
      <c r="E559" s="4"/>
      <c r="L559" s="1"/>
      <c r="M559" s="1"/>
    </row>
    <row r="560" spans="3:13" ht="14.4">
      <c r="C560" s="3"/>
      <c r="E560" s="4"/>
      <c r="L560" s="1"/>
      <c r="M560" s="1"/>
    </row>
    <row r="561" spans="3:13" ht="14.4">
      <c r="C561" s="3"/>
      <c r="E561" s="4"/>
      <c r="L561" s="1"/>
      <c r="M561" s="1"/>
    </row>
    <row r="562" spans="3:13" ht="14.4">
      <c r="C562" s="3"/>
      <c r="E562" s="4"/>
      <c r="L562" s="1"/>
      <c r="M562" s="1"/>
    </row>
    <row r="563" spans="3:13" ht="14.4">
      <c r="C563" s="3"/>
      <c r="E563" s="4"/>
      <c r="L563" s="1"/>
      <c r="M563" s="1"/>
    </row>
    <row r="564" spans="3:13" ht="14.4">
      <c r="C564" s="3"/>
      <c r="E564" s="4"/>
      <c r="L564" s="1"/>
      <c r="M564" s="1"/>
    </row>
    <row r="565" spans="3:13" ht="14.4">
      <c r="C565" s="3"/>
      <c r="E565" s="4"/>
      <c r="L565" s="1"/>
      <c r="M565" s="1"/>
    </row>
    <row r="566" spans="3:13" ht="14.4">
      <c r="C566" s="3"/>
      <c r="E566" s="4"/>
      <c r="L566" s="1"/>
      <c r="M566" s="1"/>
    </row>
    <row r="567" spans="3:13" ht="14.4">
      <c r="C567" s="3"/>
      <c r="E567" s="4"/>
      <c r="L567" s="1"/>
      <c r="M567" s="1"/>
    </row>
    <row r="568" spans="3:13" ht="14.4">
      <c r="C568" s="3"/>
      <c r="E568" s="4"/>
      <c r="L568" s="1"/>
      <c r="M568" s="1"/>
    </row>
    <row r="569" spans="3:13" ht="14.4">
      <c r="C569" s="3"/>
      <c r="E569" s="4"/>
      <c r="L569" s="1"/>
      <c r="M569" s="1"/>
    </row>
    <row r="570" spans="3:13" ht="14.4">
      <c r="C570" s="3"/>
      <c r="E570" s="4"/>
      <c r="L570" s="1"/>
      <c r="M570" s="1"/>
    </row>
    <row r="571" spans="3:13" ht="14.4">
      <c r="C571" s="3"/>
      <c r="E571" s="4"/>
      <c r="L571" s="1"/>
      <c r="M571" s="1"/>
    </row>
    <row r="572" spans="3:13" ht="14.4">
      <c r="C572" s="3"/>
      <c r="E572" s="4"/>
      <c r="L572" s="1"/>
      <c r="M572" s="1"/>
    </row>
    <row r="573" spans="3:13" ht="14.4">
      <c r="C573" s="3"/>
      <c r="E573" s="4"/>
      <c r="L573" s="1"/>
      <c r="M573" s="1"/>
    </row>
    <row r="574" spans="3:13" ht="14.4">
      <c r="C574" s="3"/>
      <c r="E574" s="4"/>
      <c r="L574" s="1"/>
      <c r="M574" s="1"/>
    </row>
    <row r="575" spans="3:13" ht="14.4">
      <c r="C575" s="3"/>
      <c r="E575" s="4"/>
      <c r="L575" s="1"/>
      <c r="M575" s="1"/>
    </row>
    <row r="576" spans="3:13" ht="14.4">
      <c r="C576" s="3"/>
      <c r="E576" s="4"/>
      <c r="L576" s="1"/>
      <c r="M576" s="1"/>
    </row>
    <row r="577" spans="3:13" ht="14.4">
      <c r="C577" s="3"/>
      <c r="E577" s="4"/>
      <c r="L577" s="1"/>
      <c r="M577" s="1"/>
    </row>
    <row r="578" spans="3:13" ht="14.4">
      <c r="C578" s="3"/>
      <c r="E578" s="4"/>
      <c r="L578" s="1"/>
      <c r="M578" s="1"/>
    </row>
    <row r="579" spans="3:13" ht="14.4">
      <c r="C579" s="3"/>
      <c r="E579" s="4"/>
      <c r="L579" s="1"/>
      <c r="M579" s="1"/>
    </row>
    <row r="580" spans="3:13" ht="14.4">
      <c r="C580" s="3"/>
      <c r="E580" s="4"/>
      <c r="L580" s="1"/>
      <c r="M580" s="1"/>
    </row>
    <row r="581" spans="3:13" ht="14.4">
      <c r="C581" s="3"/>
      <c r="E581" s="4"/>
      <c r="L581" s="1"/>
      <c r="M581" s="1"/>
    </row>
    <row r="582" spans="3:13" ht="14.4">
      <c r="C582" s="3"/>
      <c r="E582" s="4"/>
      <c r="L582" s="1"/>
      <c r="M582" s="1"/>
    </row>
    <row r="583" spans="3:13" ht="14.4">
      <c r="C583" s="3"/>
      <c r="E583" s="4"/>
      <c r="L583" s="1"/>
      <c r="M583" s="1"/>
    </row>
    <row r="584" spans="3:13" ht="14.4">
      <c r="C584" s="3"/>
      <c r="E584" s="4"/>
      <c r="L584" s="1"/>
      <c r="M584" s="1"/>
    </row>
    <row r="585" spans="3:13" ht="14.4">
      <c r="C585" s="3"/>
      <c r="E585" s="4"/>
      <c r="L585" s="1"/>
      <c r="M585" s="1"/>
    </row>
    <row r="586" spans="3:13" ht="14.4">
      <c r="C586" s="3"/>
      <c r="E586" s="4"/>
      <c r="L586" s="1"/>
      <c r="M586" s="1"/>
    </row>
    <row r="587" spans="3:13" ht="14.4">
      <c r="C587" s="3"/>
      <c r="E587" s="4"/>
      <c r="L587" s="1"/>
      <c r="M587" s="1"/>
    </row>
    <row r="588" spans="3:13" ht="14.4">
      <c r="C588" s="3"/>
      <c r="E588" s="4"/>
      <c r="L588" s="1"/>
      <c r="M588" s="1"/>
    </row>
    <row r="589" spans="3:13" ht="14.4">
      <c r="C589" s="3"/>
      <c r="E589" s="4"/>
      <c r="L589" s="1"/>
      <c r="M589" s="1"/>
    </row>
    <row r="590" spans="3:13" ht="14.4">
      <c r="C590" s="3"/>
      <c r="E590" s="4"/>
      <c r="L590" s="1"/>
      <c r="M590" s="1"/>
    </row>
    <row r="591" spans="3:13" ht="14.4">
      <c r="C591" s="3"/>
      <c r="E591" s="4"/>
      <c r="L591" s="1"/>
      <c r="M591" s="1"/>
    </row>
    <row r="592" spans="3:13" ht="14.4">
      <c r="C592" s="3"/>
      <c r="E592" s="4"/>
      <c r="L592" s="1"/>
      <c r="M592" s="1"/>
    </row>
    <row r="593" spans="3:13" ht="14.4">
      <c r="C593" s="3"/>
      <c r="E593" s="4"/>
      <c r="L593" s="1"/>
      <c r="M593" s="1"/>
    </row>
    <row r="594" spans="3:13" ht="14.4">
      <c r="C594" s="3"/>
      <c r="E594" s="4"/>
      <c r="L594" s="1"/>
      <c r="M594" s="1"/>
    </row>
    <row r="595" spans="3:13" ht="14.4">
      <c r="C595" s="3"/>
      <c r="E595" s="4"/>
      <c r="L595" s="1"/>
      <c r="M595" s="1"/>
    </row>
    <row r="596" spans="3:13" ht="14.4">
      <c r="C596" s="3"/>
      <c r="E596" s="4"/>
      <c r="L596" s="1"/>
      <c r="M596" s="1"/>
    </row>
    <row r="597" spans="3:13" ht="14.4">
      <c r="C597" s="3"/>
      <c r="E597" s="4"/>
      <c r="L597" s="1"/>
      <c r="M597" s="1"/>
    </row>
    <row r="598" spans="3:13" ht="14.4">
      <c r="C598" s="3"/>
      <c r="E598" s="4"/>
      <c r="L598" s="1"/>
      <c r="M598" s="1"/>
    </row>
    <row r="599" spans="3:13" ht="14.4">
      <c r="C599" s="3"/>
      <c r="E599" s="4"/>
      <c r="L599" s="1"/>
      <c r="M599" s="1"/>
    </row>
    <row r="600" spans="3:13" ht="14.4">
      <c r="C600" s="3"/>
      <c r="E600" s="4"/>
      <c r="L600" s="1"/>
      <c r="M600" s="1"/>
    </row>
    <row r="601" spans="3:13" ht="14.4">
      <c r="C601" s="3"/>
      <c r="E601" s="4"/>
      <c r="L601" s="1"/>
      <c r="M601" s="1"/>
    </row>
    <row r="602" spans="3:13" ht="14.4">
      <c r="C602" s="3"/>
      <c r="E602" s="4"/>
      <c r="L602" s="1"/>
      <c r="M602" s="1"/>
    </row>
    <row r="603" spans="3:13" ht="14.4">
      <c r="C603" s="3"/>
      <c r="E603" s="4"/>
      <c r="L603" s="1"/>
      <c r="M603" s="1"/>
    </row>
    <row r="604" spans="3:13" ht="14.4">
      <c r="C604" s="3"/>
      <c r="E604" s="4"/>
      <c r="L604" s="1"/>
      <c r="M604" s="1"/>
    </row>
    <row r="605" spans="3:13" ht="14.4">
      <c r="C605" s="3"/>
      <c r="E605" s="4"/>
      <c r="L605" s="1"/>
      <c r="M605" s="1"/>
    </row>
    <row r="606" spans="3:13" ht="14.4">
      <c r="C606" s="3"/>
      <c r="E606" s="4"/>
      <c r="L606" s="1"/>
      <c r="M606" s="1"/>
    </row>
    <row r="607" spans="3:13" ht="14.4">
      <c r="C607" s="3"/>
      <c r="E607" s="4"/>
      <c r="L607" s="1"/>
      <c r="M607" s="1"/>
    </row>
    <row r="608" spans="3:13" ht="14.4">
      <c r="C608" s="3"/>
      <c r="E608" s="4"/>
      <c r="L608" s="1"/>
      <c r="M608" s="1"/>
    </row>
    <row r="609" spans="3:13" ht="14.4">
      <c r="C609" s="3"/>
      <c r="E609" s="4"/>
      <c r="L609" s="1"/>
      <c r="M609" s="1"/>
    </row>
    <row r="610" spans="3:13" ht="14.4">
      <c r="C610" s="3"/>
      <c r="E610" s="4"/>
      <c r="L610" s="1"/>
      <c r="M610" s="1"/>
    </row>
    <row r="611" spans="3:13" ht="14.4">
      <c r="C611" s="3"/>
      <c r="E611" s="4"/>
      <c r="L611" s="1"/>
      <c r="M611" s="1"/>
    </row>
    <row r="612" spans="3:13" ht="14.4">
      <c r="C612" s="3"/>
      <c r="E612" s="4"/>
      <c r="L612" s="1"/>
      <c r="M612" s="1"/>
    </row>
    <row r="613" spans="3:13" ht="14.4">
      <c r="C613" s="3"/>
      <c r="E613" s="4"/>
      <c r="L613" s="1"/>
      <c r="M613" s="1"/>
    </row>
    <row r="614" spans="3:13" ht="14.4">
      <c r="C614" s="3"/>
      <c r="E614" s="4"/>
      <c r="L614" s="1"/>
      <c r="M614" s="1"/>
    </row>
    <row r="615" spans="3:13" ht="14.4">
      <c r="C615" s="3"/>
      <c r="E615" s="4"/>
      <c r="L615" s="1"/>
      <c r="M615" s="1"/>
    </row>
    <row r="616" spans="3:13" ht="14.4">
      <c r="C616" s="3"/>
      <c r="E616" s="4"/>
      <c r="L616" s="1"/>
      <c r="M616" s="1"/>
    </row>
    <row r="617" spans="3:13" ht="14.4">
      <c r="C617" s="3"/>
      <c r="E617" s="4"/>
      <c r="L617" s="1"/>
      <c r="M617" s="1"/>
    </row>
    <row r="618" spans="3:13" ht="14.4">
      <c r="C618" s="3"/>
      <c r="E618" s="4"/>
      <c r="L618" s="1"/>
      <c r="M618" s="1"/>
    </row>
    <row r="619" spans="3:13" ht="14.4">
      <c r="C619" s="3"/>
      <c r="E619" s="4"/>
      <c r="L619" s="1"/>
      <c r="M619" s="1"/>
    </row>
    <row r="620" spans="3:13" ht="14.4">
      <c r="C620" s="3"/>
      <c r="E620" s="4"/>
      <c r="L620" s="1"/>
      <c r="M620" s="1"/>
    </row>
    <row r="621" spans="3:13" ht="14.4">
      <c r="C621" s="3"/>
      <c r="E621" s="4"/>
      <c r="L621" s="1"/>
      <c r="M621" s="1"/>
    </row>
    <row r="622" spans="3:13" ht="14.4">
      <c r="C622" s="3"/>
      <c r="E622" s="4"/>
      <c r="L622" s="1"/>
      <c r="M622" s="1"/>
    </row>
    <row r="623" spans="3:13" ht="14.4">
      <c r="C623" s="3"/>
      <c r="E623" s="4"/>
      <c r="L623" s="1"/>
      <c r="M623" s="1"/>
    </row>
    <row r="624" spans="3:13" ht="14.4">
      <c r="C624" s="3"/>
      <c r="E624" s="4"/>
      <c r="L624" s="1"/>
      <c r="M624" s="1"/>
    </row>
    <row r="625" spans="3:13" ht="14.4">
      <c r="C625" s="3"/>
      <c r="E625" s="4"/>
      <c r="L625" s="1"/>
      <c r="M625" s="1"/>
    </row>
    <row r="626" spans="3:13" ht="14.4">
      <c r="C626" s="3"/>
      <c r="E626" s="4"/>
      <c r="L626" s="1"/>
      <c r="M626" s="1"/>
    </row>
    <row r="627" spans="3:13" ht="14.4">
      <c r="C627" s="3"/>
      <c r="E627" s="4"/>
      <c r="L627" s="1"/>
      <c r="M627" s="1"/>
    </row>
    <row r="628" spans="3:13" ht="14.4">
      <c r="C628" s="3"/>
      <c r="E628" s="4"/>
      <c r="L628" s="1"/>
      <c r="M628" s="1"/>
    </row>
    <row r="629" spans="3:13" ht="14.4">
      <c r="C629" s="3"/>
      <c r="E629" s="4"/>
      <c r="L629" s="1"/>
      <c r="M629" s="1"/>
    </row>
    <row r="630" spans="3:13" ht="14.4">
      <c r="C630" s="3"/>
      <c r="E630" s="4"/>
      <c r="L630" s="1"/>
      <c r="M630" s="1"/>
    </row>
    <row r="631" spans="3:13" ht="14.4">
      <c r="C631" s="3"/>
      <c r="E631" s="4"/>
      <c r="L631" s="1"/>
      <c r="M631" s="1"/>
    </row>
    <row r="632" spans="3:13" ht="14.4">
      <c r="C632" s="3"/>
      <c r="E632" s="4"/>
      <c r="L632" s="1"/>
      <c r="M632" s="1"/>
    </row>
    <row r="633" spans="3:13" ht="14.4">
      <c r="C633" s="3"/>
      <c r="E633" s="4"/>
      <c r="L633" s="1"/>
      <c r="M633" s="1"/>
    </row>
    <row r="634" spans="3:13" ht="14.4">
      <c r="C634" s="3"/>
      <c r="E634" s="4"/>
      <c r="L634" s="1"/>
      <c r="M634" s="1"/>
    </row>
    <row r="635" spans="3:13" ht="14.4">
      <c r="C635" s="3"/>
      <c r="E635" s="4"/>
      <c r="L635" s="1"/>
      <c r="M635" s="1"/>
    </row>
    <row r="636" spans="3:13" ht="14.4">
      <c r="C636" s="3"/>
      <c r="E636" s="4"/>
      <c r="L636" s="1"/>
      <c r="M636" s="1"/>
    </row>
    <row r="637" spans="3:13" ht="14.4">
      <c r="C637" s="3"/>
      <c r="E637" s="4"/>
      <c r="L637" s="1"/>
      <c r="M637" s="1"/>
    </row>
    <row r="638" spans="3:13" ht="14.4">
      <c r="C638" s="3"/>
      <c r="E638" s="4"/>
      <c r="L638" s="1"/>
      <c r="M638" s="1"/>
    </row>
    <row r="639" spans="3:13" ht="14.4">
      <c r="C639" s="3"/>
      <c r="E639" s="4"/>
      <c r="L639" s="1"/>
      <c r="M639" s="1"/>
    </row>
    <row r="640" spans="3:13" ht="14.4">
      <c r="C640" s="3"/>
      <c r="E640" s="4"/>
      <c r="L640" s="1"/>
      <c r="M640" s="1"/>
    </row>
    <row r="641" spans="3:13" ht="14.4">
      <c r="C641" s="3"/>
      <c r="E641" s="4"/>
      <c r="L641" s="1"/>
      <c r="M641" s="1"/>
    </row>
    <row r="642" spans="3:13" ht="14.4">
      <c r="C642" s="3"/>
      <c r="E642" s="4"/>
      <c r="L642" s="1"/>
      <c r="M642" s="1"/>
    </row>
    <row r="643" spans="3:13" ht="14.4">
      <c r="C643" s="3"/>
      <c r="E643" s="4"/>
      <c r="L643" s="1"/>
      <c r="M643" s="1"/>
    </row>
    <row r="644" spans="3:13" ht="14.4">
      <c r="C644" s="3"/>
      <c r="E644" s="4"/>
      <c r="L644" s="1"/>
      <c r="M644" s="1"/>
    </row>
    <row r="645" spans="3:13" ht="14.4">
      <c r="C645" s="3"/>
      <c r="E645" s="4"/>
      <c r="L645" s="1"/>
      <c r="M645" s="1"/>
    </row>
    <row r="646" spans="3:13" ht="14.4">
      <c r="C646" s="3"/>
      <c r="E646" s="4"/>
      <c r="L646" s="1"/>
      <c r="M646" s="1"/>
    </row>
    <row r="647" spans="3:13" ht="14.4">
      <c r="C647" s="3"/>
      <c r="E647" s="4"/>
      <c r="L647" s="1"/>
      <c r="M647" s="1"/>
    </row>
    <row r="648" spans="3:13" ht="14.4">
      <c r="C648" s="3"/>
      <c r="E648" s="4"/>
      <c r="L648" s="1"/>
      <c r="M648" s="1"/>
    </row>
    <row r="649" spans="3:13" ht="14.4">
      <c r="C649" s="3"/>
      <c r="E649" s="4"/>
      <c r="L649" s="1"/>
      <c r="M649" s="1"/>
    </row>
    <row r="650" spans="3:13" ht="14.4">
      <c r="C650" s="3"/>
      <c r="E650" s="4"/>
      <c r="L650" s="1"/>
      <c r="M650" s="1"/>
    </row>
    <row r="651" spans="3:13" ht="14.4">
      <c r="C651" s="3"/>
      <c r="E651" s="4"/>
      <c r="L651" s="1"/>
      <c r="M651" s="1"/>
    </row>
    <row r="652" spans="3:13" ht="14.4">
      <c r="C652" s="3"/>
      <c r="E652" s="4"/>
      <c r="L652" s="1"/>
      <c r="M652" s="1"/>
    </row>
    <row r="653" spans="3:13" ht="14.4">
      <c r="C653" s="3"/>
      <c r="E653" s="4"/>
      <c r="L653" s="1"/>
      <c r="M653" s="1"/>
    </row>
    <row r="654" spans="3:13" ht="14.4">
      <c r="C654" s="3"/>
      <c r="E654" s="4"/>
      <c r="L654" s="1"/>
      <c r="M654" s="1"/>
    </row>
    <row r="655" spans="3:13" ht="14.4">
      <c r="C655" s="3"/>
      <c r="E655" s="4"/>
      <c r="L655" s="1"/>
      <c r="M655" s="1"/>
    </row>
    <row r="656" spans="3:13" ht="14.4">
      <c r="C656" s="3"/>
      <c r="E656" s="4"/>
      <c r="L656" s="1"/>
      <c r="M656" s="1"/>
    </row>
    <row r="657" spans="3:13" ht="14.4">
      <c r="C657" s="3"/>
      <c r="E657" s="4"/>
      <c r="L657" s="1"/>
      <c r="M657" s="1"/>
    </row>
    <row r="658" spans="3:13" ht="14.4">
      <c r="C658" s="3"/>
      <c r="E658" s="4"/>
      <c r="L658" s="1"/>
      <c r="M658" s="1"/>
    </row>
    <row r="659" spans="3:13" ht="14.4">
      <c r="C659" s="3"/>
      <c r="E659" s="4"/>
      <c r="L659" s="1"/>
      <c r="M659" s="1"/>
    </row>
    <row r="660" spans="3:13" ht="14.4">
      <c r="C660" s="3"/>
      <c r="E660" s="4"/>
      <c r="L660" s="1"/>
      <c r="M660" s="1"/>
    </row>
    <row r="661" spans="3:13" ht="14.4">
      <c r="C661" s="3"/>
      <c r="E661" s="4"/>
      <c r="L661" s="1"/>
      <c r="M661" s="1"/>
    </row>
    <row r="662" spans="3:13" ht="14.4">
      <c r="C662" s="3"/>
      <c r="E662" s="4"/>
      <c r="L662" s="1"/>
      <c r="M662" s="1"/>
    </row>
    <row r="663" spans="3:13" ht="14.4">
      <c r="C663" s="3"/>
      <c r="E663" s="4"/>
      <c r="L663" s="1"/>
      <c r="M663" s="1"/>
    </row>
    <row r="664" spans="3:13" ht="14.4">
      <c r="C664" s="3"/>
      <c r="E664" s="4"/>
      <c r="L664" s="1"/>
      <c r="M664" s="1"/>
    </row>
    <row r="665" spans="3:13" ht="14.4">
      <c r="C665" s="3"/>
      <c r="E665" s="4"/>
      <c r="L665" s="1"/>
      <c r="M665" s="1"/>
    </row>
    <row r="666" spans="3:13" ht="14.4">
      <c r="C666" s="3"/>
      <c r="E666" s="4"/>
      <c r="L666" s="1"/>
      <c r="M666" s="1"/>
    </row>
    <row r="667" spans="3:13" ht="14.4">
      <c r="C667" s="3"/>
      <c r="E667" s="4"/>
      <c r="L667" s="1"/>
      <c r="M667" s="1"/>
    </row>
    <row r="668" spans="3:13" ht="14.4">
      <c r="C668" s="3"/>
      <c r="E668" s="4"/>
      <c r="L668" s="1"/>
      <c r="M668" s="1"/>
    </row>
    <row r="669" spans="3:13" ht="14.4">
      <c r="C669" s="3"/>
      <c r="E669" s="4"/>
      <c r="L669" s="1"/>
      <c r="M669" s="1"/>
    </row>
    <row r="670" spans="3:13" ht="14.4">
      <c r="C670" s="3"/>
      <c r="E670" s="4"/>
      <c r="L670" s="1"/>
      <c r="M670" s="1"/>
    </row>
    <row r="671" spans="3:13" ht="14.4">
      <c r="C671" s="3"/>
      <c r="E671" s="4"/>
      <c r="L671" s="1"/>
      <c r="M671" s="1"/>
    </row>
    <row r="672" spans="3:13" ht="14.4">
      <c r="C672" s="3"/>
      <c r="E672" s="4"/>
      <c r="L672" s="1"/>
      <c r="M672" s="1"/>
    </row>
    <row r="673" spans="3:13" ht="14.4">
      <c r="C673" s="3"/>
      <c r="E673" s="4"/>
      <c r="L673" s="1"/>
      <c r="M673" s="1"/>
    </row>
    <row r="674" spans="3:13" ht="14.4">
      <c r="C674" s="3"/>
      <c r="E674" s="4"/>
      <c r="L674" s="1"/>
      <c r="M674" s="1"/>
    </row>
    <row r="675" spans="3:13" ht="14.4">
      <c r="C675" s="3"/>
      <c r="E675" s="4"/>
      <c r="L675" s="1"/>
      <c r="M675" s="1"/>
    </row>
    <row r="676" spans="3:13" ht="14.4">
      <c r="C676" s="3"/>
      <c r="E676" s="4"/>
      <c r="L676" s="1"/>
      <c r="M676" s="1"/>
    </row>
    <row r="677" spans="3:13" ht="14.4">
      <c r="C677" s="3"/>
      <c r="E677" s="4"/>
      <c r="L677" s="1"/>
      <c r="M677" s="1"/>
    </row>
    <row r="678" spans="3:13" ht="14.4">
      <c r="C678" s="3"/>
      <c r="E678" s="4"/>
      <c r="L678" s="1"/>
      <c r="M678" s="1"/>
    </row>
    <row r="679" spans="3:13" ht="14.4">
      <c r="C679" s="3"/>
      <c r="E679" s="4"/>
      <c r="L679" s="1"/>
      <c r="M679" s="1"/>
    </row>
    <row r="680" spans="3:13" ht="14.4">
      <c r="C680" s="3"/>
      <c r="E680" s="4"/>
      <c r="L680" s="1"/>
      <c r="M680" s="1"/>
    </row>
    <row r="681" spans="3:13" ht="14.4">
      <c r="C681" s="3"/>
      <c r="E681" s="4"/>
      <c r="L681" s="1"/>
      <c r="M681" s="1"/>
    </row>
    <row r="682" spans="3:13" ht="14.4">
      <c r="C682" s="3"/>
      <c r="E682" s="4"/>
      <c r="L682" s="1"/>
      <c r="M682" s="1"/>
    </row>
    <row r="683" spans="3:13" ht="14.4">
      <c r="C683" s="3"/>
      <c r="E683" s="4"/>
      <c r="L683" s="1"/>
      <c r="M683" s="1"/>
    </row>
    <row r="684" spans="3:13" ht="14.4">
      <c r="C684" s="3"/>
      <c r="E684" s="4"/>
      <c r="L684" s="1"/>
      <c r="M684" s="1"/>
    </row>
    <row r="685" spans="3:13" ht="14.4">
      <c r="C685" s="3"/>
      <c r="E685" s="4"/>
      <c r="L685" s="1"/>
      <c r="M685" s="1"/>
    </row>
    <row r="686" spans="3:13" ht="14.4">
      <c r="C686" s="3"/>
      <c r="E686" s="4"/>
      <c r="L686" s="1"/>
      <c r="M686" s="1"/>
    </row>
    <row r="687" spans="3:13" ht="14.4">
      <c r="C687" s="3"/>
      <c r="E687" s="4"/>
      <c r="L687" s="1"/>
      <c r="M687" s="1"/>
    </row>
    <row r="688" spans="3:13" ht="14.4">
      <c r="C688" s="3"/>
      <c r="E688" s="4"/>
      <c r="L688" s="1"/>
      <c r="M688" s="1"/>
    </row>
    <row r="689" spans="3:13" ht="14.4">
      <c r="C689" s="3"/>
      <c r="E689" s="4"/>
      <c r="L689" s="1"/>
      <c r="M689" s="1"/>
    </row>
    <row r="690" spans="3:13" ht="14.4">
      <c r="C690" s="3"/>
      <c r="E690" s="4"/>
      <c r="L690" s="1"/>
      <c r="M690" s="1"/>
    </row>
    <row r="691" spans="3:13" ht="14.4">
      <c r="C691" s="3"/>
      <c r="E691" s="4"/>
      <c r="L691" s="1"/>
      <c r="M691" s="1"/>
    </row>
    <row r="692" spans="3:13" ht="14.4">
      <c r="C692" s="3"/>
      <c r="E692" s="4"/>
      <c r="L692" s="1"/>
      <c r="M692" s="1"/>
    </row>
    <row r="693" spans="3:13" ht="14.4">
      <c r="C693" s="3"/>
      <c r="E693" s="4"/>
      <c r="L693" s="1"/>
      <c r="M693" s="1"/>
    </row>
    <row r="694" spans="3:13" ht="14.4">
      <c r="C694" s="3"/>
      <c r="E694" s="4"/>
      <c r="L694" s="1"/>
      <c r="M694" s="1"/>
    </row>
    <row r="695" spans="3:13" ht="14.4">
      <c r="C695" s="3"/>
      <c r="E695" s="4"/>
      <c r="L695" s="1"/>
      <c r="M695" s="1"/>
    </row>
    <row r="696" spans="3:13" ht="14.4">
      <c r="C696" s="3"/>
      <c r="E696" s="4"/>
      <c r="L696" s="1"/>
      <c r="M696" s="1"/>
    </row>
    <row r="697" spans="3:13" ht="14.4">
      <c r="C697" s="3"/>
      <c r="E697" s="4"/>
      <c r="L697" s="1"/>
      <c r="M697" s="1"/>
    </row>
    <row r="698" spans="3:13" ht="14.4">
      <c r="C698" s="3"/>
      <c r="E698" s="4"/>
      <c r="L698" s="1"/>
      <c r="M698" s="1"/>
    </row>
    <row r="699" spans="3:13" ht="14.4">
      <c r="C699" s="3"/>
      <c r="E699" s="4"/>
      <c r="L699" s="1"/>
      <c r="M699" s="1"/>
    </row>
    <row r="700" spans="3:13" ht="14.4">
      <c r="C700" s="3"/>
      <c r="E700" s="4"/>
      <c r="L700" s="1"/>
      <c r="M700" s="1"/>
    </row>
    <row r="701" spans="3:13" ht="14.4">
      <c r="C701" s="3"/>
      <c r="E701" s="4"/>
      <c r="L701" s="1"/>
      <c r="M701" s="1"/>
    </row>
    <row r="702" spans="3:13" ht="14.4">
      <c r="C702" s="3"/>
      <c r="E702" s="4"/>
      <c r="L702" s="1"/>
      <c r="M702" s="1"/>
    </row>
    <row r="703" spans="3:13" ht="14.4">
      <c r="C703" s="3"/>
      <c r="E703" s="4"/>
      <c r="L703" s="1"/>
      <c r="M703" s="1"/>
    </row>
    <row r="704" spans="3:13" ht="14.4">
      <c r="C704" s="3"/>
      <c r="E704" s="4"/>
      <c r="L704" s="1"/>
      <c r="M704" s="1"/>
    </row>
    <row r="705" spans="3:13" ht="14.4">
      <c r="C705" s="3"/>
      <c r="E705" s="4"/>
      <c r="L705" s="1"/>
      <c r="M705" s="1"/>
    </row>
    <row r="706" spans="3:13" ht="14.4">
      <c r="C706" s="3"/>
      <c r="E706" s="4"/>
      <c r="L706" s="1"/>
      <c r="M706" s="1"/>
    </row>
    <row r="707" spans="3:13" ht="14.4">
      <c r="C707" s="3"/>
      <c r="E707" s="4"/>
      <c r="L707" s="1"/>
      <c r="M707" s="1"/>
    </row>
    <row r="708" spans="3:13" ht="14.4">
      <c r="C708" s="3"/>
      <c r="E708" s="4"/>
      <c r="L708" s="1"/>
      <c r="M708" s="1"/>
    </row>
    <row r="709" spans="3:13" ht="14.4">
      <c r="C709" s="3"/>
      <c r="E709" s="4"/>
      <c r="L709" s="1"/>
      <c r="M709" s="1"/>
    </row>
    <row r="710" spans="3:13" ht="14.4">
      <c r="C710" s="3"/>
      <c r="E710" s="4"/>
      <c r="L710" s="1"/>
      <c r="M710" s="1"/>
    </row>
    <row r="711" spans="3:13" ht="14.4">
      <c r="C711" s="3"/>
      <c r="E711" s="4"/>
      <c r="L711" s="1"/>
      <c r="M711" s="1"/>
    </row>
    <row r="712" spans="3:13" ht="14.4">
      <c r="C712" s="3"/>
      <c r="E712" s="4"/>
      <c r="L712" s="1"/>
      <c r="M712" s="1"/>
    </row>
    <row r="713" spans="3:13" ht="14.4">
      <c r="C713" s="3"/>
      <c r="E713" s="4"/>
      <c r="L713" s="1"/>
      <c r="M713" s="1"/>
    </row>
    <row r="714" spans="3:13" ht="14.4">
      <c r="C714" s="3"/>
      <c r="E714" s="4"/>
      <c r="L714" s="1"/>
      <c r="M714" s="1"/>
    </row>
    <row r="715" spans="3:13" ht="14.4">
      <c r="C715" s="3"/>
      <c r="E715" s="4"/>
      <c r="L715" s="1"/>
      <c r="M715" s="1"/>
    </row>
    <row r="716" spans="3:13" ht="14.4">
      <c r="C716" s="3"/>
      <c r="E716" s="4"/>
      <c r="L716" s="1"/>
      <c r="M716" s="1"/>
    </row>
    <row r="717" spans="3:13" ht="14.4">
      <c r="C717" s="3"/>
      <c r="E717" s="4"/>
      <c r="L717" s="1"/>
      <c r="M717" s="1"/>
    </row>
    <row r="718" spans="3:13" ht="14.4">
      <c r="C718" s="3"/>
      <c r="E718" s="4"/>
      <c r="L718" s="1"/>
      <c r="M718" s="1"/>
    </row>
    <row r="719" spans="3:13" ht="14.4">
      <c r="C719" s="3"/>
      <c r="E719" s="4"/>
      <c r="L719" s="1"/>
      <c r="M719" s="1"/>
    </row>
    <row r="720" spans="3:13" ht="14.4">
      <c r="C720" s="3"/>
      <c r="E720" s="4"/>
      <c r="L720" s="1"/>
      <c r="M720" s="1"/>
    </row>
    <row r="721" spans="3:13" ht="14.4">
      <c r="C721" s="3"/>
      <c r="E721" s="4"/>
      <c r="L721" s="1"/>
      <c r="M721" s="1"/>
    </row>
    <row r="722" spans="3:13" ht="14.4">
      <c r="C722" s="3"/>
      <c r="E722" s="4"/>
      <c r="L722" s="1"/>
      <c r="M722" s="1"/>
    </row>
    <row r="723" spans="3:13" ht="14.4">
      <c r="C723" s="3"/>
      <c r="E723" s="4"/>
      <c r="L723" s="1"/>
      <c r="M723" s="1"/>
    </row>
    <row r="724" spans="3:13" ht="14.4">
      <c r="C724" s="3"/>
      <c r="E724" s="4"/>
      <c r="L724" s="1"/>
      <c r="M724" s="1"/>
    </row>
    <row r="725" spans="3:13" ht="14.4">
      <c r="C725" s="3"/>
      <c r="E725" s="4"/>
      <c r="L725" s="1"/>
      <c r="M725" s="1"/>
    </row>
    <row r="726" spans="3:13" ht="14.4">
      <c r="C726" s="3"/>
      <c r="E726" s="4"/>
      <c r="L726" s="1"/>
      <c r="M726" s="1"/>
    </row>
    <row r="727" spans="3:13" ht="14.4">
      <c r="C727" s="3"/>
      <c r="E727" s="4"/>
      <c r="L727" s="1"/>
      <c r="M727" s="1"/>
    </row>
    <row r="728" spans="3:13" ht="14.4">
      <c r="C728" s="3"/>
      <c r="E728" s="4"/>
      <c r="L728" s="1"/>
      <c r="M728" s="1"/>
    </row>
    <row r="729" spans="3:13" ht="14.4">
      <c r="C729" s="3"/>
      <c r="E729" s="4"/>
      <c r="L729" s="1"/>
      <c r="M729" s="1"/>
    </row>
    <row r="730" spans="3:13" ht="14.4">
      <c r="C730" s="3"/>
      <c r="E730" s="4"/>
      <c r="L730" s="1"/>
      <c r="M730" s="1"/>
    </row>
    <row r="731" spans="3:13" ht="14.4">
      <c r="C731" s="3"/>
      <c r="E731" s="4"/>
      <c r="L731" s="1"/>
      <c r="M731" s="1"/>
    </row>
    <row r="732" spans="3:13" ht="14.4">
      <c r="C732" s="3"/>
      <c r="E732" s="4"/>
      <c r="L732" s="1"/>
      <c r="M732" s="1"/>
    </row>
    <row r="733" spans="3:13" ht="14.4">
      <c r="C733" s="3"/>
      <c r="E733" s="4"/>
      <c r="L733" s="1"/>
      <c r="M733" s="1"/>
    </row>
    <row r="734" spans="3:13" ht="14.4">
      <c r="C734" s="3"/>
      <c r="E734" s="4"/>
      <c r="L734" s="1"/>
      <c r="M734" s="1"/>
    </row>
    <row r="735" spans="3:13" ht="14.4">
      <c r="C735" s="3"/>
      <c r="E735" s="4"/>
      <c r="L735" s="1"/>
      <c r="M735" s="1"/>
    </row>
    <row r="736" spans="3:13" ht="14.4">
      <c r="C736" s="3"/>
      <c r="E736" s="4"/>
      <c r="L736" s="1"/>
      <c r="M736" s="1"/>
    </row>
    <row r="737" spans="3:13" ht="14.4">
      <c r="C737" s="3"/>
      <c r="E737" s="4"/>
      <c r="L737" s="1"/>
      <c r="M737" s="1"/>
    </row>
    <row r="738" spans="3:13" ht="14.4">
      <c r="C738" s="3"/>
      <c r="E738" s="4"/>
      <c r="L738" s="1"/>
      <c r="M738" s="1"/>
    </row>
    <row r="739" spans="3:13" ht="14.4">
      <c r="C739" s="3"/>
      <c r="E739" s="4"/>
      <c r="L739" s="1"/>
      <c r="M739" s="1"/>
    </row>
    <row r="740" spans="3:13" ht="14.4">
      <c r="C740" s="3"/>
      <c r="E740" s="4"/>
      <c r="L740" s="1"/>
      <c r="M740" s="1"/>
    </row>
    <row r="741" spans="3:13" ht="14.4">
      <c r="C741" s="3"/>
      <c r="E741" s="4"/>
      <c r="L741" s="1"/>
      <c r="M741" s="1"/>
    </row>
    <row r="742" spans="3:13" ht="14.4">
      <c r="C742" s="3"/>
      <c r="E742" s="4"/>
      <c r="L742" s="1"/>
      <c r="M742" s="1"/>
    </row>
    <row r="743" spans="3:13" ht="14.4">
      <c r="C743" s="3"/>
      <c r="E743" s="4"/>
      <c r="L743" s="1"/>
      <c r="M743" s="1"/>
    </row>
    <row r="744" spans="3:13" ht="14.4">
      <c r="C744" s="3"/>
      <c r="E744" s="4"/>
      <c r="L744" s="1"/>
      <c r="M744" s="1"/>
    </row>
    <row r="745" spans="3:13" ht="14.4">
      <c r="C745" s="3"/>
      <c r="E745" s="4"/>
      <c r="L745" s="1"/>
      <c r="M745" s="1"/>
    </row>
    <row r="746" spans="3:13" ht="14.4">
      <c r="C746" s="3"/>
      <c r="E746" s="4"/>
      <c r="L746" s="1"/>
      <c r="M746" s="1"/>
    </row>
    <row r="747" spans="3:13" ht="14.4">
      <c r="C747" s="3"/>
      <c r="E747" s="4"/>
      <c r="L747" s="1"/>
      <c r="M747" s="1"/>
    </row>
    <row r="748" spans="3:13" ht="14.4">
      <c r="C748" s="3"/>
      <c r="E748" s="4"/>
      <c r="L748" s="1"/>
      <c r="M748" s="1"/>
    </row>
    <row r="749" spans="3:13" ht="14.4">
      <c r="C749" s="3"/>
      <c r="E749" s="4"/>
      <c r="L749" s="1"/>
      <c r="M749" s="1"/>
    </row>
    <row r="750" spans="3:13" ht="14.4">
      <c r="C750" s="3"/>
      <c r="E750" s="4"/>
      <c r="L750" s="1"/>
      <c r="M750" s="1"/>
    </row>
    <row r="751" spans="3:13" ht="14.4">
      <c r="C751" s="3"/>
      <c r="E751" s="4"/>
      <c r="L751" s="1"/>
      <c r="M751" s="1"/>
    </row>
    <row r="752" spans="3:13" ht="14.4">
      <c r="C752" s="3"/>
      <c r="E752" s="4"/>
      <c r="L752" s="1"/>
      <c r="M752" s="1"/>
    </row>
    <row r="753" spans="3:13" ht="14.4">
      <c r="C753" s="3"/>
      <c r="E753" s="4"/>
      <c r="L753" s="1"/>
      <c r="M753" s="1"/>
    </row>
    <row r="754" spans="3:13" ht="14.4">
      <c r="C754" s="3"/>
      <c r="E754" s="4"/>
      <c r="L754" s="1"/>
      <c r="M754" s="1"/>
    </row>
    <row r="755" spans="3:13" ht="14.4">
      <c r="C755" s="3"/>
      <c r="E755" s="4"/>
      <c r="L755" s="1"/>
      <c r="M755" s="1"/>
    </row>
    <row r="756" spans="3:13" ht="14.4">
      <c r="C756" s="3"/>
      <c r="E756" s="4"/>
      <c r="L756" s="1"/>
      <c r="M756" s="1"/>
    </row>
    <row r="757" spans="3:13" ht="14.4">
      <c r="C757" s="3"/>
      <c r="E757" s="4"/>
      <c r="L757" s="1"/>
      <c r="M757" s="1"/>
    </row>
    <row r="758" spans="3:13" ht="14.4">
      <c r="C758" s="3"/>
      <c r="E758" s="4"/>
      <c r="L758" s="1"/>
      <c r="M758" s="1"/>
    </row>
    <row r="759" spans="3:13" ht="14.4">
      <c r="C759" s="3"/>
      <c r="E759" s="4"/>
      <c r="L759" s="1"/>
      <c r="M759" s="1"/>
    </row>
    <row r="760" spans="3:13" ht="14.4">
      <c r="C760" s="3"/>
      <c r="E760" s="4"/>
      <c r="L760" s="1"/>
      <c r="M760" s="1"/>
    </row>
    <row r="761" spans="3:13" ht="14.4">
      <c r="C761" s="3"/>
      <c r="E761" s="4"/>
      <c r="L761" s="1"/>
      <c r="M761" s="1"/>
    </row>
    <row r="762" spans="3:13" ht="14.4">
      <c r="C762" s="3"/>
      <c r="E762" s="4"/>
      <c r="L762" s="1"/>
      <c r="M762" s="1"/>
    </row>
    <row r="763" spans="3:13" ht="14.4">
      <c r="C763" s="3"/>
      <c r="E763" s="4"/>
      <c r="L763" s="1"/>
      <c r="M763" s="1"/>
    </row>
    <row r="764" spans="3:13" ht="14.4">
      <c r="C764" s="3"/>
      <c r="E764" s="4"/>
      <c r="L764" s="1"/>
      <c r="M764" s="1"/>
    </row>
    <row r="765" spans="3:13" ht="14.4">
      <c r="C765" s="3"/>
      <c r="E765" s="4"/>
      <c r="L765" s="1"/>
      <c r="M765" s="1"/>
    </row>
    <row r="766" spans="3:13" ht="14.4">
      <c r="C766" s="3"/>
      <c r="E766" s="4"/>
      <c r="L766" s="1"/>
      <c r="M766" s="1"/>
    </row>
    <row r="767" spans="3:13" ht="14.4">
      <c r="C767" s="3"/>
      <c r="E767" s="4"/>
      <c r="L767" s="1"/>
      <c r="M767" s="1"/>
    </row>
    <row r="768" spans="3:13" ht="14.4">
      <c r="C768" s="3"/>
      <c r="E768" s="4"/>
      <c r="L768" s="1"/>
      <c r="M768" s="1"/>
    </row>
    <row r="769" spans="3:13" ht="14.4">
      <c r="C769" s="3"/>
      <c r="E769" s="4"/>
      <c r="L769" s="1"/>
      <c r="M769" s="1"/>
    </row>
    <row r="770" spans="3:13" ht="14.4">
      <c r="C770" s="3"/>
      <c r="E770" s="4"/>
      <c r="L770" s="1"/>
      <c r="M770" s="1"/>
    </row>
    <row r="771" spans="3:13" ht="14.4">
      <c r="C771" s="3"/>
      <c r="E771" s="4"/>
      <c r="L771" s="1"/>
      <c r="M771" s="1"/>
    </row>
    <row r="772" spans="3:13" ht="14.4">
      <c r="C772" s="3"/>
      <c r="E772" s="4"/>
      <c r="L772" s="1"/>
      <c r="M772" s="1"/>
    </row>
    <row r="773" spans="3:13" ht="14.4">
      <c r="C773" s="3"/>
      <c r="E773" s="4"/>
      <c r="L773" s="1"/>
      <c r="M773" s="1"/>
    </row>
    <row r="774" spans="3:13" ht="14.4">
      <c r="C774" s="3"/>
      <c r="E774" s="4"/>
      <c r="L774" s="1"/>
      <c r="M774" s="1"/>
    </row>
    <row r="775" spans="3:13" ht="14.4">
      <c r="C775" s="3"/>
      <c r="E775" s="4"/>
      <c r="L775" s="1"/>
      <c r="M775" s="1"/>
    </row>
    <row r="776" spans="3:13" ht="14.4">
      <c r="C776" s="3"/>
      <c r="E776" s="4"/>
      <c r="L776" s="1"/>
      <c r="M776" s="1"/>
    </row>
    <row r="777" spans="3:13" ht="14.4">
      <c r="C777" s="3"/>
      <c r="E777" s="4"/>
      <c r="L777" s="1"/>
      <c r="M777" s="1"/>
    </row>
    <row r="778" spans="3:13" ht="14.4">
      <c r="C778" s="3"/>
      <c r="E778" s="4"/>
      <c r="L778" s="1"/>
      <c r="M778" s="1"/>
    </row>
    <row r="779" spans="3:13" ht="14.4">
      <c r="C779" s="3"/>
      <c r="E779" s="4"/>
      <c r="L779" s="1"/>
      <c r="M779" s="1"/>
    </row>
    <row r="780" spans="3:13" ht="14.4">
      <c r="C780" s="3"/>
      <c r="E780" s="4"/>
      <c r="L780" s="1"/>
      <c r="M780" s="1"/>
    </row>
    <row r="781" spans="3:13" ht="14.4">
      <c r="C781" s="3"/>
      <c r="E781" s="4"/>
      <c r="L781" s="1"/>
      <c r="M781" s="1"/>
    </row>
    <row r="782" spans="3:13" ht="14.4">
      <c r="C782" s="3"/>
      <c r="E782" s="4"/>
      <c r="L782" s="1"/>
      <c r="M782" s="1"/>
    </row>
    <row r="783" spans="3:13" ht="14.4">
      <c r="C783" s="3"/>
      <c r="E783" s="4"/>
      <c r="L783" s="1"/>
      <c r="M783" s="1"/>
    </row>
    <row r="784" spans="3:13" ht="14.4">
      <c r="C784" s="3"/>
      <c r="E784" s="4"/>
      <c r="L784" s="1"/>
      <c r="M784" s="1"/>
    </row>
    <row r="785" spans="3:13" ht="14.4">
      <c r="C785" s="3"/>
      <c r="E785" s="4"/>
      <c r="L785" s="1"/>
      <c r="M785" s="1"/>
    </row>
    <row r="786" spans="3:13" ht="14.4">
      <c r="C786" s="3"/>
      <c r="E786" s="4"/>
      <c r="L786" s="1"/>
      <c r="M786" s="1"/>
    </row>
    <row r="787" spans="3:13" ht="14.4">
      <c r="C787" s="3"/>
      <c r="E787" s="4"/>
      <c r="L787" s="1"/>
      <c r="M787" s="1"/>
    </row>
    <row r="788" spans="3:13" ht="14.4">
      <c r="C788" s="3"/>
      <c r="E788" s="4"/>
      <c r="L788" s="1"/>
      <c r="M788" s="1"/>
    </row>
    <row r="789" spans="3:13" ht="14.4">
      <c r="C789" s="3"/>
      <c r="E789" s="4"/>
      <c r="L789" s="1"/>
      <c r="M789" s="1"/>
    </row>
    <row r="790" spans="3:13" ht="14.4">
      <c r="C790" s="3"/>
      <c r="E790" s="4"/>
      <c r="L790" s="1"/>
      <c r="M790" s="1"/>
    </row>
    <row r="791" spans="3:13" ht="14.4">
      <c r="C791" s="3"/>
      <c r="E791" s="4"/>
      <c r="L791" s="1"/>
      <c r="M791" s="1"/>
    </row>
    <row r="792" spans="3:13" ht="14.4">
      <c r="C792" s="3"/>
      <c r="E792" s="4"/>
      <c r="L792" s="1"/>
      <c r="M792" s="1"/>
    </row>
    <row r="793" spans="3:13" ht="14.4">
      <c r="C793" s="3"/>
      <c r="E793" s="4"/>
      <c r="L793" s="1"/>
      <c r="M793" s="1"/>
    </row>
    <row r="794" spans="3:13" ht="14.4">
      <c r="C794" s="3"/>
      <c r="E794" s="4"/>
      <c r="L794" s="1"/>
      <c r="M794" s="1"/>
    </row>
    <row r="795" spans="3:13" ht="14.4">
      <c r="C795" s="3"/>
      <c r="E795" s="4"/>
      <c r="L795" s="1"/>
      <c r="M795" s="1"/>
    </row>
    <row r="796" spans="3:13" ht="14.4">
      <c r="C796" s="3"/>
      <c r="E796" s="4"/>
      <c r="L796" s="1"/>
      <c r="M796" s="1"/>
    </row>
    <row r="797" spans="3:13" ht="14.4">
      <c r="C797" s="3"/>
      <c r="E797" s="4"/>
      <c r="L797" s="1"/>
      <c r="M797" s="1"/>
    </row>
    <row r="798" spans="3:13" ht="14.4">
      <c r="C798" s="3"/>
      <c r="E798" s="4"/>
      <c r="L798" s="1"/>
      <c r="M798" s="1"/>
    </row>
    <row r="799" spans="3:13" ht="14.4">
      <c r="C799" s="3"/>
      <c r="E799" s="4"/>
      <c r="L799" s="1"/>
      <c r="M799" s="1"/>
    </row>
    <row r="800" spans="3:13" ht="14.4">
      <c r="C800" s="3"/>
      <c r="E800" s="4"/>
      <c r="L800" s="1"/>
      <c r="M800" s="1"/>
    </row>
    <row r="801" spans="3:13" ht="14.4">
      <c r="C801" s="3"/>
      <c r="E801" s="4"/>
      <c r="L801" s="1"/>
      <c r="M801" s="1"/>
    </row>
    <row r="802" spans="3:13" ht="14.4">
      <c r="C802" s="3"/>
      <c r="E802" s="4"/>
      <c r="L802" s="1"/>
      <c r="M802" s="1"/>
    </row>
    <row r="803" spans="3:13" ht="14.4">
      <c r="C803" s="3"/>
      <c r="E803" s="4"/>
      <c r="L803" s="1"/>
      <c r="M803" s="1"/>
    </row>
    <row r="804" spans="3:13" ht="14.4">
      <c r="C804" s="3"/>
      <c r="E804" s="4"/>
      <c r="L804" s="1"/>
      <c r="M804" s="1"/>
    </row>
    <row r="805" spans="3:13" ht="14.4">
      <c r="C805" s="3"/>
      <c r="E805" s="4"/>
      <c r="L805" s="1"/>
      <c r="M805" s="1"/>
    </row>
    <row r="806" spans="3:13" ht="14.4">
      <c r="C806" s="3"/>
      <c r="E806" s="4"/>
      <c r="L806" s="1"/>
      <c r="M806" s="1"/>
    </row>
    <row r="807" spans="3:13" ht="14.4">
      <c r="C807" s="3"/>
      <c r="E807" s="4"/>
      <c r="L807" s="1"/>
      <c r="M807" s="1"/>
    </row>
    <row r="808" spans="3:13" ht="14.4">
      <c r="C808" s="3"/>
      <c r="E808" s="4"/>
      <c r="L808" s="1"/>
      <c r="M808" s="1"/>
    </row>
    <row r="809" spans="3:13" ht="14.4">
      <c r="C809" s="3"/>
      <c r="E809" s="4"/>
      <c r="L809" s="1"/>
      <c r="M809" s="1"/>
    </row>
    <row r="810" spans="3:13" ht="14.4">
      <c r="C810" s="3"/>
      <c r="E810" s="4"/>
      <c r="L810" s="1"/>
      <c r="M810" s="1"/>
    </row>
    <row r="811" spans="3:13" ht="14.4">
      <c r="C811" s="3"/>
      <c r="E811" s="4"/>
      <c r="L811" s="1"/>
      <c r="M811" s="1"/>
    </row>
    <row r="812" spans="3:13" ht="14.4">
      <c r="C812" s="3"/>
      <c r="E812" s="4"/>
      <c r="L812" s="1"/>
      <c r="M812" s="1"/>
    </row>
    <row r="813" spans="3:13" ht="14.4">
      <c r="C813" s="3"/>
      <c r="E813" s="4"/>
      <c r="L813" s="1"/>
      <c r="M813" s="1"/>
    </row>
    <row r="814" spans="3:13" ht="14.4">
      <c r="C814" s="3"/>
      <c r="E814" s="4"/>
      <c r="L814" s="1"/>
      <c r="M814" s="1"/>
    </row>
    <row r="815" spans="3:13" ht="14.4">
      <c r="C815" s="3"/>
      <c r="E815" s="4"/>
      <c r="L815" s="1"/>
      <c r="M815" s="1"/>
    </row>
    <row r="816" spans="3:13" ht="14.4">
      <c r="C816" s="3"/>
      <c r="E816" s="4"/>
      <c r="L816" s="1"/>
      <c r="M816" s="1"/>
    </row>
    <row r="817" spans="3:13" ht="14.4">
      <c r="C817" s="3"/>
      <c r="E817" s="4"/>
      <c r="L817" s="1"/>
      <c r="M817" s="1"/>
    </row>
    <row r="818" spans="3:13" ht="14.4">
      <c r="C818" s="3"/>
      <c r="E818" s="4"/>
      <c r="L818" s="1"/>
      <c r="M818" s="1"/>
    </row>
    <row r="819" spans="3:13" ht="14.4">
      <c r="C819" s="3"/>
      <c r="E819" s="4"/>
      <c r="L819" s="1"/>
      <c r="M819" s="1"/>
    </row>
    <row r="820" spans="3:13" ht="14.4">
      <c r="C820" s="3"/>
      <c r="E820" s="4"/>
      <c r="L820" s="1"/>
      <c r="M820" s="1"/>
    </row>
    <row r="821" spans="3:13" ht="14.4">
      <c r="C821" s="3"/>
      <c r="E821" s="4"/>
      <c r="L821" s="1"/>
      <c r="M821" s="1"/>
    </row>
    <row r="822" spans="3:13" ht="14.4">
      <c r="C822" s="3"/>
      <c r="E822" s="4"/>
      <c r="L822" s="1"/>
      <c r="M822" s="1"/>
    </row>
    <row r="823" spans="3:13" ht="14.4">
      <c r="C823" s="3"/>
      <c r="E823" s="4"/>
      <c r="L823" s="1"/>
      <c r="M823" s="1"/>
    </row>
    <row r="824" spans="3:13" ht="14.4">
      <c r="C824" s="3"/>
      <c r="E824" s="4"/>
      <c r="L824" s="1"/>
      <c r="M824" s="1"/>
    </row>
    <row r="825" spans="3:13" ht="14.4">
      <c r="C825" s="3"/>
      <c r="E825" s="4"/>
      <c r="L825" s="1"/>
      <c r="M825" s="1"/>
    </row>
    <row r="826" spans="3:13" ht="14.4">
      <c r="C826" s="3"/>
      <c r="E826" s="4"/>
      <c r="L826" s="1"/>
      <c r="M826" s="1"/>
    </row>
    <row r="827" spans="3:13" ht="14.4">
      <c r="C827" s="3"/>
      <c r="E827" s="4"/>
      <c r="L827" s="1"/>
      <c r="M827" s="1"/>
    </row>
    <row r="828" spans="3:13" ht="14.4">
      <c r="C828" s="3"/>
      <c r="E828" s="4"/>
      <c r="L828" s="1"/>
      <c r="M828" s="1"/>
    </row>
    <row r="829" spans="3:13" ht="14.4">
      <c r="C829" s="3"/>
      <c r="E829" s="4"/>
      <c r="L829" s="1"/>
      <c r="M829" s="1"/>
    </row>
    <row r="830" spans="3:13" ht="14.4">
      <c r="C830" s="3"/>
      <c r="E830" s="4"/>
      <c r="L830" s="1"/>
      <c r="M830" s="1"/>
    </row>
    <row r="831" spans="3:13" ht="14.4">
      <c r="C831" s="3"/>
      <c r="E831" s="4"/>
      <c r="L831" s="1"/>
      <c r="M831" s="1"/>
    </row>
    <row r="832" spans="3:13" ht="14.4">
      <c r="C832" s="3"/>
      <c r="E832" s="4"/>
      <c r="L832" s="1"/>
      <c r="M832" s="1"/>
    </row>
    <row r="833" spans="3:13" ht="14.4">
      <c r="C833" s="3"/>
      <c r="E833" s="4"/>
      <c r="L833" s="1"/>
      <c r="M833" s="1"/>
    </row>
    <row r="834" spans="3:13" ht="14.4">
      <c r="C834" s="3"/>
      <c r="E834" s="4"/>
      <c r="L834" s="1"/>
      <c r="M834" s="1"/>
    </row>
    <row r="835" spans="3:13" ht="14.4">
      <c r="C835" s="3"/>
      <c r="E835" s="4"/>
      <c r="L835" s="1"/>
      <c r="M835" s="1"/>
    </row>
    <row r="836" spans="3:13" ht="14.4">
      <c r="C836" s="3"/>
      <c r="E836" s="4"/>
      <c r="L836" s="1"/>
      <c r="M836" s="1"/>
    </row>
    <row r="837" spans="3:13" ht="14.4">
      <c r="C837" s="3"/>
      <c r="E837" s="4"/>
      <c r="L837" s="1"/>
      <c r="M837" s="1"/>
    </row>
    <row r="838" spans="3:13" ht="14.4">
      <c r="C838" s="3"/>
      <c r="E838" s="4"/>
      <c r="L838" s="1"/>
      <c r="M838" s="1"/>
    </row>
    <row r="839" spans="3:13" ht="14.4">
      <c r="C839" s="3"/>
      <c r="E839" s="4"/>
      <c r="L839" s="1"/>
      <c r="M839" s="1"/>
    </row>
    <row r="840" spans="3:13" ht="14.4">
      <c r="C840" s="3"/>
      <c r="E840" s="4"/>
      <c r="L840" s="1"/>
      <c r="M840" s="1"/>
    </row>
    <row r="841" spans="3:13" ht="14.4">
      <c r="C841" s="3"/>
      <c r="E841" s="4"/>
      <c r="L841" s="1"/>
      <c r="M841" s="1"/>
    </row>
    <row r="842" spans="3:13" ht="14.4">
      <c r="C842" s="3"/>
      <c r="E842" s="4"/>
      <c r="L842" s="1"/>
      <c r="M842" s="1"/>
    </row>
    <row r="843" spans="3:13" ht="14.4">
      <c r="C843" s="3"/>
      <c r="E843" s="4"/>
      <c r="L843" s="1"/>
      <c r="M843" s="1"/>
    </row>
    <row r="844" spans="3:13" ht="14.4">
      <c r="C844" s="3"/>
      <c r="E844" s="4"/>
      <c r="L844" s="1"/>
      <c r="M844" s="1"/>
    </row>
    <row r="845" spans="3:13" ht="14.4">
      <c r="C845" s="3"/>
      <c r="E845" s="4"/>
      <c r="L845" s="1"/>
      <c r="M845" s="1"/>
    </row>
    <row r="846" spans="3:13" ht="14.4">
      <c r="C846" s="3"/>
      <c r="E846" s="4"/>
      <c r="L846" s="1"/>
      <c r="M846" s="1"/>
    </row>
    <row r="847" spans="3:13" ht="14.4">
      <c r="C847" s="3"/>
      <c r="E847" s="4"/>
      <c r="L847" s="1"/>
      <c r="M847" s="1"/>
    </row>
    <row r="848" spans="3:13" ht="14.4">
      <c r="C848" s="3"/>
      <c r="E848" s="4"/>
      <c r="L848" s="1"/>
      <c r="M848" s="1"/>
    </row>
    <row r="849" spans="3:13" ht="14.4">
      <c r="C849" s="3"/>
      <c r="E849" s="4"/>
      <c r="L849" s="1"/>
      <c r="M849" s="1"/>
    </row>
    <row r="850" spans="3:13" ht="14.4">
      <c r="C850" s="3"/>
      <c r="E850" s="4"/>
      <c r="L850" s="1"/>
      <c r="M850" s="1"/>
    </row>
    <row r="851" spans="3:13" ht="14.4">
      <c r="C851" s="3"/>
      <c r="E851" s="4"/>
      <c r="L851" s="1"/>
      <c r="M851" s="1"/>
    </row>
    <row r="852" spans="3:13" ht="14.4">
      <c r="C852" s="3"/>
      <c r="E852" s="4"/>
      <c r="L852" s="1"/>
      <c r="M852" s="1"/>
    </row>
    <row r="853" spans="3:13" ht="14.4">
      <c r="C853" s="3"/>
      <c r="E853" s="4"/>
      <c r="L853" s="1"/>
      <c r="M853" s="1"/>
    </row>
    <row r="854" spans="3:13" ht="14.4">
      <c r="C854" s="3"/>
      <c r="E854" s="4"/>
      <c r="L854" s="1"/>
      <c r="M854" s="1"/>
    </row>
    <row r="855" spans="3:13" ht="14.4">
      <c r="C855" s="3"/>
      <c r="E855" s="4"/>
      <c r="L855" s="1"/>
      <c r="M855" s="1"/>
    </row>
    <row r="856" spans="3:13" ht="14.4">
      <c r="C856" s="3"/>
      <c r="E856" s="4"/>
      <c r="L856" s="1"/>
      <c r="M856" s="1"/>
    </row>
    <row r="857" spans="3:13" ht="14.4">
      <c r="C857" s="3"/>
      <c r="E857" s="4"/>
      <c r="L857" s="1"/>
      <c r="M857" s="1"/>
    </row>
    <row r="858" spans="3:13" ht="14.4">
      <c r="C858" s="3"/>
      <c r="E858" s="4"/>
      <c r="L858" s="1"/>
      <c r="M858" s="1"/>
    </row>
    <row r="859" spans="3:13" ht="14.4">
      <c r="C859" s="3"/>
      <c r="E859" s="4"/>
      <c r="L859" s="1"/>
      <c r="M859" s="1"/>
    </row>
    <row r="860" spans="3:13" ht="14.4">
      <c r="C860" s="3"/>
      <c r="E860" s="4"/>
      <c r="L860" s="1"/>
      <c r="M860" s="1"/>
    </row>
    <row r="861" spans="3:13" ht="14.4">
      <c r="C861" s="3"/>
      <c r="E861" s="4"/>
      <c r="L861" s="1"/>
      <c r="M861" s="1"/>
    </row>
    <row r="862" spans="3:13" ht="14.4">
      <c r="C862" s="3"/>
      <c r="E862" s="4"/>
      <c r="L862" s="1"/>
      <c r="M862" s="1"/>
    </row>
    <row r="863" spans="3:13" ht="14.4">
      <c r="C863" s="3"/>
      <c r="E863" s="4"/>
      <c r="L863" s="1"/>
      <c r="M863" s="1"/>
    </row>
    <row r="864" spans="3:13" ht="14.4">
      <c r="C864" s="3"/>
      <c r="E864" s="4"/>
      <c r="L864" s="1"/>
      <c r="M864" s="1"/>
    </row>
    <row r="865" spans="3:13" ht="14.4">
      <c r="C865" s="3"/>
      <c r="E865" s="4"/>
      <c r="L865" s="1"/>
      <c r="M865" s="1"/>
    </row>
    <row r="866" spans="3:13" ht="14.4">
      <c r="C866" s="3"/>
      <c r="E866" s="4"/>
      <c r="L866" s="1"/>
      <c r="M866" s="1"/>
    </row>
    <row r="867" spans="3:13" ht="14.4">
      <c r="C867" s="3"/>
      <c r="E867" s="4"/>
      <c r="L867" s="1"/>
      <c r="M867" s="1"/>
    </row>
    <row r="868" spans="3:13" ht="14.4">
      <c r="C868" s="3"/>
      <c r="E868" s="4"/>
      <c r="L868" s="1"/>
      <c r="M868" s="1"/>
    </row>
    <row r="869" spans="3:13" ht="14.4">
      <c r="C869" s="3"/>
      <c r="E869" s="4"/>
      <c r="L869" s="1"/>
      <c r="M869" s="1"/>
    </row>
    <row r="870" spans="3:13" ht="14.4">
      <c r="C870" s="3"/>
      <c r="E870" s="4"/>
      <c r="L870" s="1"/>
      <c r="M870" s="1"/>
    </row>
    <row r="871" spans="3:13" ht="14.4">
      <c r="C871" s="3"/>
      <c r="E871" s="4"/>
      <c r="L871" s="1"/>
      <c r="M871" s="1"/>
    </row>
    <row r="872" spans="3:13" ht="14.4">
      <c r="C872" s="3"/>
      <c r="E872" s="4"/>
      <c r="L872" s="1"/>
      <c r="M872" s="1"/>
    </row>
    <row r="873" spans="3:13" ht="14.4">
      <c r="C873" s="3"/>
      <c r="E873" s="4"/>
      <c r="L873" s="1"/>
      <c r="M873" s="1"/>
    </row>
    <row r="874" spans="3:13" ht="14.4">
      <c r="C874" s="3"/>
      <c r="E874" s="4"/>
      <c r="L874" s="1"/>
      <c r="M874" s="1"/>
    </row>
    <row r="875" spans="3:13" ht="14.4">
      <c r="C875" s="3"/>
      <c r="E875" s="4"/>
      <c r="L875" s="1"/>
      <c r="M875" s="1"/>
    </row>
    <row r="876" spans="3:13" ht="14.4">
      <c r="C876" s="3"/>
      <c r="E876" s="4"/>
      <c r="L876" s="1"/>
      <c r="M876" s="1"/>
    </row>
    <row r="877" spans="3:13" ht="14.4">
      <c r="C877" s="3"/>
      <c r="E877" s="4"/>
      <c r="L877" s="1"/>
      <c r="M877" s="1"/>
    </row>
    <row r="878" spans="3:13" ht="14.4">
      <c r="C878" s="3"/>
      <c r="E878" s="4"/>
      <c r="L878" s="1"/>
      <c r="M878" s="1"/>
    </row>
    <row r="879" spans="3:13" ht="14.4">
      <c r="C879" s="3"/>
      <c r="E879" s="4"/>
      <c r="L879" s="1"/>
      <c r="M879" s="1"/>
    </row>
    <row r="880" spans="3:13" ht="14.4">
      <c r="C880" s="3"/>
      <c r="E880" s="4"/>
      <c r="L880" s="1"/>
      <c r="M880" s="1"/>
    </row>
    <row r="881" spans="3:13" ht="14.4">
      <c r="C881" s="3"/>
      <c r="E881" s="4"/>
      <c r="L881" s="1"/>
      <c r="M881" s="1"/>
    </row>
    <row r="882" spans="3:13" ht="14.4">
      <c r="C882" s="3"/>
      <c r="E882" s="4"/>
      <c r="L882" s="1"/>
      <c r="M882" s="1"/>
    </row>
    <row r="883" spans="3:13" ht="14.4">
      <c r="C883" s="3"/>
      <c r="E883" s="4"/>
      <c r="L883" s="1"/>
      <c r="M883" s="1"/>
    </row>
    <row r="884" spans="3:13" ht="14.4">
      <c r="C884" s="3"/>
      <c r="E884" s="4"/>
      <c r="L884" s="1"/>
      <c r="M884" s="1"/>
    </row>
    <row r="885" spans="3:13" ht="14.4">
      <c r="C885" s="3"/>
      <c r="E885" s="4"/>
      <c r="L885" s="1"/>
      <c r="M885" s="1"/>
    </row>
    <row r="886" spans="3:13" ht="14.4">
      <c r="C886" s="3"/>
      <c r="E886" s="4"/>
      <c r="L886" s="1"/>
      <c r="M886" s="1"/>
    </row>
    <row r="887" spans="3:13" ht="14.4">
      <c r="C887" s="3"/>
      <c r="E887" s="4"/>
      <c r="L887" s="1"/>
      <c r="M887" s="1"/>
    </row>
    <row r="888" spans="3:13" ht="14.4">
      <c r="C888" s="3"/>
      <c r="E888" s="4"/>
      <c r="L888" s="1"/>
      <c r="M888" s="1"/>
    </row>
    <row r="889" spans="3:13" ht="14.4">
      <c r="C889" s="3"/>
      <c r="E889" s="4"/>
      <c r="L889" s="1"/>
      <c r="M889" s="1"/>
    </row>
    <row r="890" spans="3:13" ht="14.4">
      <c r="C890" s="3"/>
      <c r="E890" s="4"/>
      <c r="L890" s="1"/>
      <c r="M890" s="1"/>
    </row>
    <row r="891" spans="3:13" ht="14.4">
      <c r="C891" s="3"/>
      <c r="E891" s="4"/>
      <c r="L891" s="1"/>
      <c r="M891" s="1"/>
    </row>
    <row r="892" spans="3:13" ht="14.4">
      <c r="C892" s="3"/>
      <c r="E892" s="4"/>
      <c r="L892" s="1"/>
      <c r="M892" s="1"/>
    </row>
    <row r="893" spans="3:13" ht="14.4">
      <c r="C893" s="3"/>
      <c r="E893" s="4"/>
      <c r="L893" s="1"/>
      <c r="M893" s="1"/>
    </row>
    <row r="894" spans="3:13" ht="14.4">
      <c r="C894" s="3"/>
      <c r="E894" s="4"/>
      <c r="L894" s="1"/>
      <c r="M894" s="1"/>
    </row>
    <row r="895" spans="3:13" ht="14.4">
      <c r="C895" s="3"/>
      <c r="E895" s="4"/>
      <c r="L895" s="1"/>
      <c r="M895" s="1"/>
    </row>
    <row r="896" spans="3:13" ht="14.4">
      <c r="C896" s="3"/>
      <c r="E896" s="4"/>
      <c r="L896" s="1"/>
      <c r="M896" s="1"/>
    </row>
    <row r="897" spans="3:13" ht="14.4">
      <c r="C897" s="3"/>
      <c r="E897" s="4"/>
      <c r="L897" s="1"/>
      <c r="M897" s="1"/>
    </row>
    <row r="898" spans="3:13" ht="14.4">
      <c r="C898" s="3"/>
      <c r="E898" s="4"/>
      <c r="L898" s="1"/>
      <c r="M898" s="1"/>
    </row>
    <row r="899" spans="3:13" ht="14.4">
      <c r="C899" s="3"/>
      <c r="E899" s="4"/>
      <c r="L899" s="1"/>
      <c r="M899" s="1"/>
    </row>
    <row r="900" spans="3:13" ht="14.4">
      <c r="C900" s="3"/>
      <c r="E900" s="4"/>
      <c r="L900" s="1"/>
      <c r="M900" s="1"/>
    </row>
    <row r="901" spans="3:13" ht="14.4">
      <c r="C901" s="3"/>
      <c r="E901" s="4"/>
      <c r="L901" s="1"/>
      <c r="M901" s="1"/>
    </row>
    <row r="902" spans="3:13" ht="14.4">
      <c r="C902" s="3"/>
      <c r="E902" s="4"/>
      <c r="L902" s="1"/>
      <c r="M902" s="1"/>
    </row>
    <row r="903" spans="3:13" ht="14.4">
      <c r="C903" s="3"/>
      <c r="E903" s="4"/>
      <c r="L903" s="1"/>
      <c r="M903" s="1"/>
    </row>
    <row r="904" spans="3:13" ht="14.4">
      <c r="C904" s="3"/>
      <c r="E904" s="4"/>
      <c r="L904" s="1"/>
      <c r="M904" s="1"/>
    </row>
    <row r="905" spans="3:13" ht="14.4">
      <c r="C905" s="3"/>
      <c r="E905" s="4"/>
      <c r="L905" s="1"/>
      <c r="M905" s="1"/>
    </row>
    <row r="906" spans="3:13" ht="14.4">
      <c r="C906" s="3"/>
      <c r="E906" s="4"/>
      <c r="L906" s="1"/>
      <c r="M906" s="1"/>
    </row>
    <row r="907" spans="3:13" ht="14.4">
      <c r="C907" s="3"/>
      <c r="E907" s="4"/>
      <c r="L907" s="1"/>
      <c r="M907" s="1"/>
    </row>
    <row r="908" spans="3:13" ht="14.4">
      <c r="C908" s="3"/>
      <c r="E908" s="4"/>
      <c r="L908" s="1"/>
      <c r="M908" s="1"/>
    </row>
    <row r="909" spans="3:13" ht="14.4">
      <c r="C909" s="3"/>
      <c r="E909" s="4"/>
      <c r="L909" s="1"/>
      <c r="M909" s="1"/>
    </row>
    <row r="910" spans="3:13" ht="14.4">
      <c r="C910" s="3"/>
      <c r="E910" s="4"/>
      <c r="L910" s="1"/>
      <c r="M910" s="1"/>
    </row>
    <row r="911" spans="3:13" ht="14.4">
      <c r="C911" s="3"/>
      <c r="E911" s="4"/>
      <c r="L911" s="1"/>
      <c r="M911" s="1"/>
    </row>
    <row r="912" spans="3:13" ht="14.4">
      <c r="C912" s="3"/>
      <c r="E912" s="4"/>
      <c r="L912" s="1"/>
      <c r="M912" s="1"/>
    </row>
    <row r="913" spans="3:13" ht="14.4">
      <c r="C913" s="3"/>
      <c r="E913" s="4"/>
      <c r="L913" s="1"/>
      <c r="M913" s="1"/>
    </row>
    <row r="914" spans="3:13" ht="14.4">
      <c r="C914" s="3"/>
      <c r="E914" s="4"/>
      <c r="L914" s="1"/>
      <c r="M914" s="1"/>
    </row>
    <row r="915" spans="3:13" ht="14.4">
      <c r="C915" s="3"/>
      <c r="E915" s="4"/>
      <c r="L915" s="1"/>
      <c r="M915" s="1"/>
    </row>
    <row r="916" spans="3:13" ht="14.4">
      <c r="C916" s="3"/>
      <c r="E916" s="4"/>
      <c r="L916" s="1"/>
      <c r="M916" s="1"/>
    </row>
    <row r="917" spans="3:13" ht="14.4">
      <c r="C917" s="3"/>
      <c r="E917" s="4"/>
      <c r="L917" s="1"/>
      <c r="M917" s="1"/>
    </row>
    <row r="918" spans="3:13" ht="14.4">
      <c r="C918" s="3"/>
      <c r="E918" s="4"/>
      <c r="L918" s="1"/>
      <c r="M918" s="1"/>
    </row>
    <row r="919" spans="3:13" ht="14.4">
      <c r="C919" s="3"/>
      <c r="E919" s="4"/>
      <c r="L919" s="1"/>
      <c r="M919" s="1"/>
    </row>
    <row r="920" spans="3:13" ht="14.4">
      <c r="C920" s="3"/>
      <c r="E920" s="4"/>
      <c r="L920" s="1"/>
      <c r="M920" s="1"/>
    </row>
    <row r="921" spans="3:13" ht="14.4">
      <c r="C921" s="3"/>
      <c r="E921" s="4"/>
      <c r="L921" s="1"/>
      <c r="M921" s="1"/>
    </row>
    <row r="922" spans="3:13" ht="14.4">
      <c r="C922" s="3"/>
      <c r="E922" s="4"/>
      <c r="L922" s="1"/>
      <c r="M922" s="1"/>
    </row>
    <row r="923" spans="3:13" ht="14.4">
      <c r="C923" s="3"/>
      <c r="E923" s="4"/>
      <c r="L923" s="1"/>
      <c r="M923" s="1"/>
    </row>
    <row r="924" spans="3:13" ht="14.4">
      <c r="C924" s="3"/>
      <c r="E924" s="4"/>
      <c r="L924" s="1"/>
      <c r="M924" s="1"/>
    </row>
    <row r="925" spans="3:13" ht="14.4">
      <c r="C925" s="3"/>
      <c r="E925" s="4"/>
      <c r="L925" s="1"/>
      <c r="M925" s="1"/>
    </row>
    <row r="926" spans="3:13" ht="14.4">
      <c r="C926" s="3"/>
      <c r="E926" s="4"/>
      <c r="L926" s="1"/>
      <c r="M926" s="1"/>
    </row>
    <row r="927" spans="3:13" ht="14.4">
      <c r="C927" s="3"/>
      <c r="E927" s="4"/>
      <c r="L927" s="1"/>
      <c r="M927" s="1"/>
    </row>
    <row r="928" spans="3:13" ht="14.4">
      <c r="C928" s="3"/>
      <c r="E928" s="4"/>
      <c r="L928" s="1"/>
      <c r="M928" s="1"/>
    </row>
    <row r="929" spans="3:13" ht="14.4">
      <c r="C929" s="3"/>
      <c r="E929" s="4"/>
      <c r="L929" s="1"/>
      <c r="M929" s="1"/>
    </row>
    <row r="930" spans="3:13" ht="14.4">
      <c r="C930" s="3"/>
      <c r="E930" s="4"/>
      <c r="L930" s="1"/>
      <c r="M930" s="1"/>
    </row>
    <row r="931" spans="3:13" ht="14.4">
      <c r="C931" s="3"/>
      <c r="E931" s="4"/>
      <c r="L931" s="1"/>
      <c r="M931" s="1"/>
    </row>
    <row r="932" spans="3:13" ht="14.4">
      <c r="C932" s="3"/>
      <c r="E932" s="4"/>
      <c r="L932" s="1"/>
      <c r="M932" s="1"/>
    </row>
    <row r="933" spans="3:13" ht="14.4">
      <c r="C933" s="3"/>
      <c r="E933" s="4"/>
      <c r="L933" s="1"/>
      <c r="M933" s="1"/>
    </row>
    <row r="934" spans="3:13" ht="14.4">
      <c r="C934" s="3"/>
      <c r="E934" s="4"/>
      <c r="L934" s="1"/>
      <c r="M934" s="1"/>
    </row>
    <row r="935" spans="3:13" ht="14.4">
      <c r="C935" s="3"/>
      <c r="E935" s="4"/>
      <c r="L935" s="1"/>
      <c r="M935" s="1"/>
    </row>
    <row r="936" spans="3:13" ht="14.4">
      <c r="C936" s="3"/>
      <c r="E936" s="4"/>
      <c r="L936" s="1"/>
      <c r="M936" s="1"/>
    </row>
    <row r="937" spans="3:13" ht="14.4">
      <c r="C937" s="3"/>
      <c r="E937" s="4"/>
      <c r="L937" s="1"/>
      <c r="M937" s="1"/>
    </row>
    <row r="938" spans="3:13" ht="14.4">
      <c r="C938" s="3"/>
      <c r="E938" s="4"/>
      <c r="L938" s="1"/>
      <c r="M938" s="1"/>
    </row>
    <row r="939" spans="3:13" ht="14.4">
      <c r="C939" s="3"/>
      <c r="E939" s="4"/>
      <c r="L939" s="1"/>
      <c r="M939" s="1"/>
    </row>
    <row r="940" spans="3:13" ht="14.4">
      <c r="C940" s="3"/>
      <c r="E940" s="4"/>
      <c r="L940" s="1"/>
      <c r="M940" s="1"/>
    </row>
    <row r="941" spans="3:13" ht="14.4">
      <c r="C941" s="3"/>
      <c r="E941" s="4"/>
      <c r="L941" s="1"/>
      <c r="M941" s="1"/>
    </row>
    <row r="942" spans="3:13" ht="14.4">
      <c r="C942" s="3"/>
      <c r="E942" s="4"/>
      <c r="L942" s="1"/>
      <c r="M942" s="1"/>
    </row>
    <row r="943" spans="3:13" ht="14.4">
      <c r="C943" s="3"/>
      <c r="E943" s="4"/>
      <c r="L943" s="1"/>
      <c r="M943" s="1"/>
    </row>
    <row r="944" spans="3:13" ht="14.4">
      <c r="C944" s="3"/>
      <c r="E944" s="4"/>
      <c r="L944" s="1"/>
      <c r="M944" s="1"/>
    </row>
    <row r="945" spans="3:13" ht="14.4">
      <c r="C945" s="3"/>
      <c r="E945" s="4"/>
      <c r="L945" s="1"/>
      <c r="M945" s="1"/>
    </row>
    <row r="946" spans="3:13" ht="14.4">
      <c r="C946" s="3"/>
      <c r="E946" s="4"/>
      <c r="L946" s="1"/>
      <c r="M946" s="1"/>
    </row>
    <row r="947" spans="3:13" ht="14.4">
      <c r="C947" s="3"/>
      <c r="E947" s="4"/>
      <c r="L947" s="1"/>
      <c r="M947" s="1"/>
    </row>
    <row r="948" spans="3:13" ht="14.4">
      <c r="C948" s="3"/>
      <c r="E948" s="4"/>
      <c r="L948" s="1"/>
      <c r="M948" s="1"/>
    </row>
    <row r="949" spans="3:13" ht="14.4">
      <c r="C949" s="3"/>
      <c r="E949" s="4"/>
      <c r="L949" s="1"/>
      <c r="M949" s="1"/>
    </row>
    <row r="950" spans="3:13" ht="14.4">
      <c r="C950" s="3"/>
      <c r="E950" s="4"/>
      <c r="L950" s="1"/>
      <c r="M950" s="1"/>
    </row>
    <row r="951" spans="3:13" ht="14.4">
      <c r="C951" s="3"/>
      <c r="E951" s="4"/>
      <c r="L951" s="1"/>
      <c r="M951" s="1"/>
    </row>
    <row r="952" spans="3:13" ht="14.4">
      <c r="C952" s="3"/>
      <c r="E952" s="4"/>
      <c r="L952" s="1"/>
      <c r="M952" s="1"/>
    </row>
    <row r="953" spans="3:13" ht="14.4">
      <c r="C953" s="3"/>
      <c r="E953" s="4"/>
      <c r="L953" s="1"/>
      <c r="M953" s="1"/>
    </row>
    <row r="954" spans="3:13" ht="14.4">
      <c r="C954" s="3"/>
      <c r="E954" s="4"/>
      <c r="L954" s="1"/>
      <c r="M954" s="1"/>
    </row>
    <row r="955" spans="3:13" ht="14.4">
      <c r="C955" s="3"/>
      <c r="E955" s="4"/>
      <c r="L955" s="1"/>
      <c r="M955" s="1"/>
    </row>
    <row r="956" spans="3:13" ht="14.4">
      <c r="C956" s="3"/>
      <c r="E956" s="4"/>
      <c r="L956" s="1"/>
      <c r="M956" s="1"/>
    </row>
    <row r="957" spans="3:13" ht="14.4">
      <c r="C957" s="3"/>
      <c r="E957" s="4"/>
      <c r="L957" s="1"/>
      <c r="M957" s="1"/>
    </row>
    <row r="958" spans="3:13" ht="14.4">
      <c r="C958" s="3"/>
      <c r="E958" s="4"/>
      <c r="L958" s="1"/>
      <c r="M958" s="1"/>
    </row>
    <row r="959" spans="3:13" ht="14.4">
      <c r="C959" s="3"/>
      <c r="E959" s="4"/>
      <c r="L959" s="1"/>
      <c r="M959" s="1"/>
    </row>
    <row r="960" spans="3:13" ht="14.4">
      <c r="C960" s="3"/>
      <c r="E960" s="4"/>
      <c r="L960" s="1"/>
      <c r="M960" s="1"/>
    </row>
    <row r="961" spans="3:13" ht="14.4">
      <c r="C961" s="3"/>
      <c r="E961" s="4"/>
      <c r="L961" s="1"/>
      <c r="M961" s="1"/>
    </row>
    <row r="962" spans="3:13" ht="14.4">
      <c r="C962" s="3"/>
      <c r="E962" s="4"/>
      <c r="L962" s="1"/>
      <c r="M962" s="1"/>
    </row>
    <row r="963" spans="3:13" ht="14.4">
      <c r="C963" s="3"/>
      <c r="E963" s="4"/>
      <c r="L963" s="1"/>
      <c r="M963" s="1"/>
    </row>
    <row r="964" spans="3:13" ht="14.4">
      <c r="C964" s="3"/>
      <c r="E964" s="4"/>
      <c r="L964" s="1"/>
      <c r="M964" s="1"/>
    </row>
    <row r="965" spans="3:13" ht="14.4">
      <c r="C965" s="3"/>
      <c r="E965" s="4"/>
      <c r="L965" s="1"/>
      <c r="M965" s="1"/>
    </row>
    <row r="966" spans="3:13" ht="14.4">
      <c r="C966" s="3"/>
      <c r="E966" s="4"/>
      <c r="L966" s="1"/>
      <c r="M966" s="1"/>
    </row>
    <row r="967" spans="3:13" ht="14.4">
      <c r="C967" s="3"/>
      <c r="E967" s="4"/>
      <c r="L967" s="1"/>
      <c r="M967" s="1"/>
    </row>
    <row r="968" spans="3:13" ht="14.4">
      <c r="C968" s="3"/>
      <c r="E968" s="4"/>
      <c r="L968" s="1"/>
      <c r="M968" s="1"/>
    </row>
    <row r="969" spans="3:13" ht="14.4">
      <c r="C969" s="3"/>
      <c r="E969" s="4"/>
      <c r="L969" s="1"/>
      <c r="M969" s="1"/>
    </row>
    <row r="970" spans="3:13" ht="14.4">
      <c r="C970" s="3"/>
      <c r="E970" s="4"/>
      <c r="L970" s="1"/>
      <c r="M970" s="1"/>
    </row>
    <row r="971" spans="3:13" ht="14.4">
      <c r="C971" s="3"/>
      <c r="E971" s="4"/>
      <c r="L971" s="1"/>
      <c r="M971" s="1"/>
    </row>
    <row r="972" spans="3:13" ht="14.4">
      <c r="C972" s="3"/>
      <c r="E972" s="4"/>
      <c r="L972" s="1"/>
      <c r="M972" s="1"/>
    </row>
    <row r="973" spans="3:13" ht="14.4">
      <c r="C973" s="3"/>
      <c r="E973" s="4"/>
      <c r="L973" s="1"/>
      <c r="M973" s="1"/>
    </row>
    <row r="974" spans="3:13" ht="14.4">
      <c r="C974" s="3"/>
      <c r="E974" s="4"/>
      <c r="L974" s="1"/>
      <c r="M974" s="1"/>
    </row>
    <row r="975" spans="3:13" ht="14.4">
      <c r="C975" s="3"/>
      <c r="E975" s="4"/>
      <c r="L975" s="1"/>
      <c r="M975" s="1"/>
    </row>
    <row r="976" spans="3:13" ht="14.4">
      <c r="C976" s="3"/>
      <c r="E976" s="4"/>
      <c r="L976" s="1"/>
      <c r="M976" s="1"/>
    </row>
    <row r="977" spans="3:13" ht="14.4">
      <c r="C977" s="3"/>
      <c r="E977" s="4"/>
      <c r="L977" s="1"/>
      <c r="M977" s="1"/>
    </row>
    <row r="978" spans="3:13" ht="14.4">
      <c r="C978" s="3"/>
      <c r="E978" s="4"/>
      <c r="L978" s="1"/>
      <c r="M978" s="1"/>
    </row>
    <row r="979" spans="3:13" ht="14.4">
      <c r="C979" s="3"/>
      <c r="E979" s="4"/>
      <c r="L979" s="1"/>
      <c r="M979" s="1"/>
    </row>
    <row r="980" spans="3:13" ht="14.4">
      <c r="C980" s="3"/>
      <c r="E980" s="4"/>
      <c r="L980" s="1"/>
      <c r="M980" s="1"/>
    </row>
    <row r="981" spans="3:13" ht="14.4">
      <c r="C981" s="3"/>
      <c r="E981" s="4"/>
      <c r="L981" s="1"/>
      <c r="M981" s="1"/>
    </row>
    <row r="982" spans="3:13" ht="14.4">
      <c r="C982" s="3"/>
      <c r="E982" s="4"/>
      <c r="L982" s="1"/>
      <c r="M982" s="1"/>
    </row>
    <row r="983" spans="3:13" ht="14.4">
      <c r="C983" s="3"/>
      <c r="E983" s="4"/>
      <c r="L983" s="1"/>
      <c r="M983" s="1"/>
    </row>
    <row r="984" spans="3:13" ht="14.4">
      <c r="C984" s="3"/>
      <c r="E984" s="4"/>
      <c r="L984" s="1"/>
      <c r="M984" s="1"/>
    </row>
    <row r="985" spans="3:13" ht="14.4">
      <c r="C985" s="3"/>
      <c r="E985" s="4"/>
      <c r="L985" s="1"/>
      <c r="M985" s="1"/>
    </row>
    <row r="986" spans="3:13" ht="14.4">
      <c r="C986" s="3"/>
      <c r="E986" s="4"/>
      <c r="L986" s="1"/>
      <c r="M986" s="1"/>
    </row>
    <row r="987" spans="3:13" ht="14.4">
      <c r="C987" s="3"/>
      <c r="E987" s="4"/>
      <c r="L987" s="1"/>
      <c r="M987" s="1"/>
    </row>
    <row r="988" spans="3:13" ht="14.4">
      <c r="C988" s="3"/>
      <c r="E988" s="4"/>
      <c r="L988" s="1"/>
      <c r="M988" s="1"/>
    </row>
    <row r="989" spans="3:13" ht="14.4">
      <c r="C989" s="3"/>
      <c r="E989" s="4"/>
      <c r="L989" s="1"/>
      <c r="M989" s="1"/>
    </row>
    <row r="990" spans="3:13" ht="14.4">
      <c r="C990" s="3"/>
      <c r="E990" s="4"/>
      <c r="L990" s="1"/>
      <c r="M990" s="1"/>
    </row>
    <row r="991" spans="3:13" ht="14.4">
      <c r="C991" s="3"/>
      <c r="E991" s="4"/>
      <c r="L991" s="1"/>
      <c r="M991" s="1"/>
    </row>
    <row r="992" spans="3:13" ht="14.4">
      <c r="C992" s="3"/>
      <c r="E992" s="4"/>
      <c r="L992" s="1"/>
      <c r="M992" s="1"/>
    </row>
    <row r="993" spans="3:13" ht="14.4">
      <c r="C993" s="3"/>
      <c r="E993" s="4"/>
      <c r="L993" s="1"/>
      <c r="M993" s="1"/>
    </row>
    <row r="994" spans="3:13" ht="14.4">
      <c r="C994" s="3"/>
      <c r="E994" s="4"/>
      <c r="L994" s="1"/>
      <c r="M994" s="1"/>
    </row>
    <row r="995" spans="3:13" ht="14.4">
      <c r="C995" s="3"/>
      <c r="E995" s="4"/>
      <c r="L995" s="1"/>
      <c r="M995" s="1"/>
    </row>
    <row r="996" spans="3:13" ht="14.4">
      <c r="C996" s="3"/>
      <c r="E996" s="4"/>
      <c r="L996" s="1"/>
      <c r="M996" s="1"/>
    </row>
    <row r="997" spans="3:13" ht="14.4">
      <c r="C997" s="3"/>
      <c r="E997" s="4"/>
      <c r="L997" s="1"/>
      <c r="M997" s="1"/>
    </row>
    <row r="998" spans="3:13" ht="14.4">
      <c r="C998" s="3"/>
      <c r="E998" s="4"/>
      <c r="L998" s="1"/>
      <c r="M998" s="1"/>
    </row>
    <row r="999" spans="3:13" ht="14.4">
      <c r="C999" s="3"/>
      <c r="E999" s="4"/>
      <c r="L999" s="1"/>
      <c r="M999" s="1"/>
    </row>
    <row r="1000" spans="3:13" ht="14.4">
      <c r="C1000" s="3"/>
      <c r="E1000" s="4"/>
      <c r="L1000" s="1"/>
      <c r="M1000" s="1"/>
    </row>
    <row r="1001" spans="3:13" ht="14.4">
      <c r="C1001" s="3"/>
      <c r="E1001" s="4"/>
      <c r="L1001" s="1"/>
      <c r="M1001" s="1"/>
    </row>
    <row r="1002" spans="3:13" ht="14.4">
      <c r="C1002" s="3"/>
      <c r="E1002" s="4"/>
      <c r="L1002" s="1"/>
      <c r="M1002" s="1"/>
    </row>
    <row r="1003" spans="3:13" ht="14.4">
      <c r="C1003" s="3"/>
      <c r="E1003" s="4"/>
      <c r="L1003" s="1"/>
      <c r="M1003" s="1"/>
    </row>
    <row r="1004" spans="3:13" ht="14.4">
      <c r="C1004" s="3"/>
      <c r="E1004" s="4"/>
      <c r="L1004" s="1"/>
      <c r="M1004" s="1"/>
    </row>
    <row r="1005" spans="3:13" ht="14.4">
      <c r="C1005" s="3"/>
      <c r="E1005" s="4"/>
      <c r="L1005" s="1"/>
      <c r="M1005" s="1"/>
    </row>
    <row r="1006" spans="3:13" ht="14.4">
      <c r="C1006" s="3"/>
      <c r="E1006" s="4"/>
      <c r="L1006" s="1"/>
      <c r="M1006" s="1"/>
    </row>
    <row r="1007" spans="3:13" ht="14.4">
      <c r="C1007" s="3"/>
      <c r="E1007" s="4"/>
      <c r="L1007" s="1"/>
      <c r="M1007" s="1"/>
    </row>
  </sheetData>
  <mergeCells count="474">
    <mergeCell ref="A91:A98"/>
    <mergeCell ref="B91:B94"/>
    <mergeCell ref="C91:C94"/>
    <mergeCell ref="B95:B98"/>
    <mergeCell ref="C95:C98"/>
    <mergeCell ref="G82:G85"/>
    <mergeCell ref="H82:H85"/>
    <mergeCell ref="I82:I85"/>
    <mergeCell ref="J82:J85"/>
    <mergeCell ref="K82:K85"/>
    <mergeCell ref="L82:L85"/>
    <mergeCell ref="A77:A80"/>
    <mergeCell ref="B77:B80"/>
    <mergeCell ref="C77:C80"/>
    <mergeCell ref="A82:A89"/>
    <mergeCell ref="B82:B85"/>
    <mergeCell ref="C82:C85"/>
    <mergeCell ref="F82:F85"/>
    <mergeCell ref="B86:B89"/>
    <mergeCell ref="C86:C89"/>
    <mergeCell ref="B69:B70"/>
    <mergeCell ref="C69:C70"/>
    <mergeCell ref="B71:B72"/>
    <mergeCell ref="C71:C72"/>
    <mergeCell ref="B73:B74"/>
    <mergeCell ref="C73:C74"/>
    <mergeCell ref="B57:B60"/>
    <mergeCell ref="C57:C60"/>
    <mergeCell ref="A62:A74"/>
    <mergeCell ref="B63:B64"/>
    <mergeCell ref="C63:C64"/>
    <mergeCell ref="B65:B66"/>
    <mergeCell ref="C65:C66"/>
    <mergeCell ref="A57:A60"/>
    <mergeCell ref="B48:B49"/>
    <mergeCell ref="B50:B51"/>
    <mergeCell ref="B52:B53"/>
    <mergeCell ref="C52:C53"/>
    <mergeCell ref="B54:B55"/>
    <mergeCell ref="C54:C55"/>
    <mergeCell ref="B56:C56"/>
    <mergeCell ref="B67:B68"/>
    <mergeCell ref="C67:C68"/>
    <mergeCell ref="A22:A24"/>
    <mergeCell ref="C22:C24"/>
    <mergeCell ref="G22:G24"/>
    <mergeCell ref="C26:C27"/>
    <mergeCell ref="G26:G27"/>
    <mergeCell ref="B32:B35"/>
    <mergeCell ref="B44:B45"/>
    <mergeCell ref="C44:C45"/>
    <mergeCell ref="F44:F45"/>
    <mergeCell ref="G44:G45"/>
    <mergeCell ref="A26:A29"/>
    <mergeCell ref="B28:B29"/>
    <mergeCell ref="C28:C29"/>
    <mergeCell ref="C32:C35"/>
    <mergeCell ref="F32:F35"/>
    <mergeCell ref="B36:C36"/>
    <mergeCell ref="A43:A55"/>
    <mergeCell ref="C50:C51"/>
    <mergeCell ref="F50:F51"/>
    <mergeCell ref="G50:G51"/>
    <mergeCell ref="H50:H51"/>
    <mergeCell ref="I50:I51"/>
    <mergeCell ref="J50:J51"/>
    <mergeCell ref="K50:K51"/>
    <mergeCell ref="B14:B15"/>
    <mergeCell ref="C14:C15"/>
    <mergeCell ref="H44:H45"/>
    <mergeCell ref="I44:I45"/>
    <mergeCell ref="J44:J45"/>
    <mergeCell ref="K44:K45"/>
    <mergeCell ref="B46:B47"/>
    <mergeCell ref="C46:C47"/>
    <mergeCell ref="G46:G47"/>
    <mergeCell ref="H46:H47"/>
    <mergeCell ref="I46:I47"/>
    <mergeCell ref="J46:J47"/>
    <mergeCell ref="K46:K47"/>
    <mergeCell ref="C48:C49"/>
    <mergeCell ref="J37:J40"/>
    <mergeCell ref="K37:K40"/>
    <mergeCell ref="L37:L40"/>
    <mergeCell ref="F46:F47"/>
    <mergeCell ref="F48:F49"/>
    <mergeCell ref="G48:G49"/>
    <mergeCell ref="H48:H49"/>
    <mergeCell ref="I48:I49"/>
    <mergeCell ref="J48:J49"/>
    <mergeCell ref="K48:K49"/>
    <mergeCell ref="A32:A35"/>
    <mergeCell ref="A37:A41"/>
    <mergeCell ref="B37:B40"/>
    <mergeCell ref="C37:C40"/>
    <mergeCell ref="B42:C42"/>
    <mergeCell ref="F37:F40"/>
    <mergeCell ref="G37:G40"/>
    <mergeCell ref="H37:H40"/>
    <mergeCell ref="I37:I40"/>
    <mergeCell ref="K22:K24"/>
    <mergeCell ref="L22:L24"/>
    <mergeCell ref="M22:M24"/>
    <mergeCell ref="N22:N24"/>
    <mergeCell ref="O22:O24"/>
    <mergeCell ref="B22:B24"/>
    <mergeCell ref="B26:B27"/>
    <mergeCell ref="M26:M29"/>
    <mergeCell ref="N26:N27"/>
    <mergeCell ref="O26:O27"/>
    <mergeCell ref="N28:N29"/>
    <mergeCell ref="O28:O29"/>
    <mergeCell ref="F14:F15"/>
    <mergeCell ref="K14:K15"/>
    <mergeCell ref="A1:K1"/>
    <mergeCell ref="D5:K5"/>
    <mergeCell ref="D6:K6"/>
    <mergeCell ref="D7:K7"/>
    <mergeCell ref="D8:K8"/>
    <mergeCell ref="D9:K9"/>
    <mergeCell ref="A14:A16"/>
    <mergeCell ref="K26:K29"/>
    <mergeCell ref="L26:L29"/>
    <mergeCell ref="J28:J29"/>
    <mergeCell ref="N32:N35"/>
    <mergeCell ref="O32:O35"/>
    <mergeCell ref="G32:G35"/>
    <mergeCell ref="H32:H35"/>
    <mergeCell ref="I32:I35"/>
    <mergeCell ref="J32:J35"/>
    <mergeCell ref="K32:K35"/>
    <mergeCell ref="L32:L35"/>
    <mergeCell ref="M32:M35"/>
    <mergeCell ref="F28:F29"/>
    <mergeCell ref="G28:G29"/>
    <mergeCell ref="H28:H29"/>
    <mergeCell ref="I28:I29"/>
    <mergeCell ref="F22:F24"/>
    <mergeCell ref="F26:F27"/>
    <mergeCell ref="H26:H27"/>
    <mergeCell ref="I26:I27"/>
    <mergeCell ref="J26:J27"/>
    <mergeCell ref="H22:H24"/>
    <mergeCell ref="I22:I24"/>
    <mergeCell ref="J22:J24"/>
    <mergeCell ref="F134:F135"/>
    <mergeCell ref="G134:G135"/>
    <mergeCell ref="H134:H135"/>
    <mergeCell ref="I134:I135"/>
    <mergeCell ref="J134:J135"/>
    <mergeCell ref="F136:F137"/>
    <mergeCell ref="F149:F152"/>
    <mergeCell ref="G149:G152"/>
    <mergeCell ref="H149:H152"/>
    <mergeCell ref="I149:I152"/>
    <mergeCell ref="J149:J152"/>
    <mergeCell ref="F127:F128"/>
    <mergeCell ref="H131:H132"/>
    <mergeCell ref="I131:I132"/>
    <mergeCell ref="F129:F130"/>
    <mergeCell ref="G129:G130"/>
    <mergeCell ref="H129:H130"/>
    <mergeCell ref="I129:I130"/>
    <mergeCell ref="J129:J130"/>
    <mergeCell ref="G131:G132"/>
    <mergeCell ref="J131:J132"/>
    <mergeCell ref="F131:F132"/>
    <mergeCell ref="K166:K167"/>
    <mergeCell ref="K168:K169"/>
    <mergeCell ref="K170:K171"/>
    <mergeCell ref="K175:K178"/>
    <mergeCell ref="L175:L178"/>
    <mergeCell ref="F163:F164"/>
    <mergeCell ref="F166:F167"/>
    <mergeCell ref="F168:F169"/>
    <mergeCell ref="F170:F171"/>
    <mergeCell ref="G163:G164"/>
    <mergeCell ref="J163:J164"/>
    <mergeCell ref="F140:F143"/>
    <mergeCell ref="F145:F148"/>
    <mergeCell ref="G145:G148"/>
    <mergeCell ref="H145:H148"/>
    <mergeCell ref="I145:I148"/>
    <mergeCell ref="J145:J148"/>
    <mergeCell ref="K145:K148"/>
    <mergeCell ref="H163:H164"/>
    <mergeCell ref="I163:I164"/>
    <mergeCell ref="F159:F162"/>
    <mergeCell ref="G159:G162"/>
    <mergeCell ref="H159:H162"/>
    <mergeCell ref="I159:I162"/>
    <mergeCell ref="J159:J162"/>
    <mergeCell ref="F156:F157"/>
    <mergeCell ref="G156:G157"/>
    <mergeCell ref="G127:G128"/>
    <mergeCell ref="H127:H128"/>
    <mergeCell ref="I127:I128"/>
    <mergeCell ref="J127:J128"/>
    <mergeCell ref="G136:G137"/>
    <mergeCell ref="H136:H137"/>
    <mergeCell ref="G140:G143"/>
    <mergeCell ref="H140:H143"/>
    <mergeCell ref="I140:I143"/>
    <mergeCell ref="J140:J143"/>
    <mergeCell ref="I136:I137"/>
    <mergeCell ref="J136:J137"/>
    <mergeCell ref="F117:F118"/>
    <mergeCell ref="G117:G118"/>
    <mergeCell ref="H117:H118"/>
    <mergeCell ref="I117:I118"/>
    <mergeCell ref="J117:J118"/>
    <mergeCell ref="H123:H124"/>
    <mergeCell ref="I123:I124"/>
    <mergeCell ref="C123:C124"/>
    <mergeCell ref="C125:C126"/>
    <mergeCell ref="F120:F121"/>
    <mergeCell ref="G120:G121"/>
    <mergeCell ref="H120:H121"/>
    <mergeCell ref="I120:I121"/>
    <mergeCell ref="J120:J121"/>
    <mergeCell ref="G123:G124"/>
    <mergeCell ref="J123:J124"/>
    <mergeCell ref="F123:F124"/>
    <mergeCell ref="F125:F126"/>
    <mergeCell ref="G125:G126"/>
    <mergeCell ref="H125:H126"/>
    <mergeCell ref="I125:I126"/>
    <mergeCell ref="J125:J126"/>
    <mergeCell ref="H108:H109"/>
    <mergeCell ref="I108:I109"/>
    <mergeCell ref="J108:J109"/>
    <mergeCell ref="K108:K111"/>
    <mergeCell ref="L108:L109"/>
    <mergeCell ref="M108:M109"/>
    <mergeCell ref="N108:N109"/>
    <mergeCell ref="O108:O109"/>
    <mergeCell ref="A105:A111"/>
    <mergeCell ref="B106:B107"/>
    <mergeCell ref="C106:C107"/>
    <mergeCell ref="F106:F107"/>
    <mergeCell ref="G106:G107"/>
    <mergeCell ref="H106:H107"/>
    <mergeCell ref="I106:I107"/>
    <mergeCell ref="F108:F109"/>
    <mergeCell ref="G108:G109"/>
    <mergeCell ref="N117:N118"/>
    <mergeCell ref="K120:K132"/>
    <mergeCell ref="M120:M121"/>
    <mergeCell ref="N120:N121"/>
    <mergeCell ref="N123:N124"/>
    <mergeCell ref="M149:M152"/>
    <mergeCell ref="N149:N152"/>
    <mergeCell ref="K155:K164"/>
    <mergeCell ref="M159:M162"/>
    <mergeCell ref="N159:N162"/>
    <mergeCell ref="M163:M164"/>
    <mergeCell ref="N163:N164"/>
    <mergeCell ref="K134:K135"/>
    <mergeCell ref="M134:M135"/>
    <mergeCell ref="N134:N135"/>
    <mergeCell ref="K136:K137"/>
    <mergeCell ref="M136:M137"/>
    <mergeCell ref="N136:N137"/>
    <mergeCell ref="K149:K152"/>
    <mergeCell ref="K140:K143"/>
    <mergeCell ref="C159:C162"/>
    <mergeCell ref="C163:C164"/>
    <mergeCell ref="C166:C167"/>
    <mergeCell ref="C168:C169"/>
    <mergeCell ref="C170:C171"/>
    <mergeCell ref="C127:C128"/>
    <mergeCell ref="C129:C130"/>
    <mergeCell ref="C134:C135"/>
    <mergeCell ref="C136:C137"/>
    <mergeCell ref="C140:C143"/>
    <mergeCell ref="C145:C148"/>
    <mergeCell ref="C149:C152"/>
    <mergeCell ref="A155:A164"/>
    <mergeCell ref="A166:A171"/>
    <mergeCell ref="A175:A178"/>
    <mergeCell ref="B108:B111"/>
    <mergeCell ref="C108:C111"/>
    <mergeCell ref="A117:A118"/>
    <mergeCell ref="B117:B118"/>
    <mergeCell ref="C117:C118"/>
    <mergeCell ref="C120:C121"/>
    <mergeCell ref="C131:C132"/>
    <mergeCell ref="B156:B157"/>
    <mergeCell ref="B159:B162"/>
    <mergeCell ref="B163:B164"/>
    <mergeCell ref="B166:B167"/>
    <mergeCell ref="B168:B169"/>
    <mergeCell ref="B170:B171"/>
    <mergeCell ref="B120:B121"/>
    <mergeCell ref="B122:B132"/>
    <mergeCell ref="B134:B135"/>
    <mergeCell ref="B136:B137"/>
    <mergeCell ref="B140:B143"/>
    <mergeCell ref="B145:B148"/>
    <mergeCell ref="B149:B152"/>
    <mergeCell ref="C156:C157"/>
    <mergeCell ref="J106:J107"/>
    <mergeCell ref="K106:K107"/>
    <mergeCell ref="L106:L107"/>
    <mergeCell ref="N106:N107"/>
    <mergeCell ref="O106:O107"/>
    <mergeCell ref="A120:A132"/>
    <mergeCell ref="A134:A137"/>
    <mergeCell ref="A140:A143"/>
    <mergeCell ref="A145:A152"/>
    <mergeCell ref="M123:M124"/>
    <mergeCell ref="M125:M126"/>
    <mergeCell ref="M140:M143"/>
    <mergeCell ref="N140:N143"/>
    <mergeCell ref="M145:M148"/>
    <mergeCell ref="N145:N148"/>
    <mergeCell ref="N125:N126"/>
    <mergeCell ref="M127:M128"/>
    <mergeCell ref="N127:N128"/>
    <mergeCell ref="M129:M130"/>
    <mergeCell ref="N129:N130"/>
    <mergeCell ref="M131:M132"/>
    <mergeCell ref="N131:N132"/>
    <mergeCell ref="K117:K118"/>
    <mergeCell ref="M117:M118"/>
    <mergeCell ref="J100:J103"/>
    <mergeCell ref="K100:K103"/>
    <mergeCell ref="L100:L103"/>
    <mergeCell ref="M100:M103"/>
    <mergeCell ref="N100:N103"/>
    <mergeCell ref="O100:O103"/>
    <mergeCell ref="A100:A103"/>
    <mergeCell ref="B100:B103"/>
    <mergeCell ref="C100:C103"/>
    <mergeCell ref="F100:F103"/>
    <mergeCell ref="G100:G103"/>
    <mergeCell ref="H100:H103"/>
    <mergeCell ref="I100:I103"/>
    <mergeCell ref="M95:M98"/>
    <mergeCell ref="N95:N98"/>
    <mergeCell ref="O95:O98"/>
    <mergeCell ref="F95:F98"/>
    <mergeCell ref="G95:G98"/>
    <mergeCell ref="H95:H98"/>
    <mergeCell ref="I95:I98"/>
    <mergeCell ref="J95:J98"/>
    <mergeCell ref="K95:K98"/>
    <mergeCell ref="L95:L98"/>
    <mergeCell ref="F86:F89"/>
    <mergeCell ref="G86:G89"/>
    <mergeCell ref="H86:H89"/>
    <mergeCell ref="I86:I89"/>
    <mergeCell ref="J86:J89"/>
    <mergeCell ref="K86:K89"/>
    <mergeCell ref="L86:L89"/>
    <mergeCell ref="F91:F94"/>
    <mergeCell ref="G91:G94"/>
    <mergeCell ref="H91:H94"/>
    <mergeCell ref="I91:I94"/>
    <mergeCell ref="J91:J94"/>
    <mergeCell ref="K91:K94"/>
    <mergeCell ref="L91:L94"/>
    <mergeCell ref="N50:N51"/>
    <mergeCell ref="O50:O51"/>
    <mergeCell ref="N52:N53"/>
    <mergeCell ref="O52:O53"/>
    <mergeCell ref="N67:N68"/>
    <mergeCell ref="O67:O68"/>
    <mergeCell ref="N69:N70"/>
    <mergeCell ref="O69:O70"/>
    <mergeCell ref="N71:N72"/>
    <mergeCell ref="O71:O72"/>
    <mergeCell ref="N54:N55"/>
    <mergeCell ref="O54:O55"/>
    <mergeCell ref="N63:N64"/>
    <mergeCell ref="O63:O64"/>
    <mergeCell ref="N65:N66"/>
    <mergeCell ref="O65:O66"/>
    <mergeCell ref="M37:M40"/>
    <mergeCell ref="N37:N40"/>
    <mergeCell ref="O37:O40"/>
    <mergeCell ref="M44:M45"/>
    <mergeCell ref="N44:N45"/>
    <mergeCell ref="O44:O45"/>
    <mergeCell ref="O46:O47"/>
    <mergeCell ref="N46:N47"/>
    <mergeCell ref="N48:N49"/>
    <mergeCell ref="O48:O49"/>
    <mergeCell ref="N91:N94"/>
    <mergeCell ref="O91:O94"/>
    <mergeCell ref="M82:M85"/>
    <mergeCell ref="N82:N85"/>
    <mergeCell ref="O82:O85"/>
    <mergeCell ref="M86:M89"/>
    <mergeCell ref="N86:N89"/>
    <mergeCell ref="O86:O89"/>
    <mergeCell ref="M91:M94"/>
    <mergeCell ref="L77:L80"/>
    <mergeCell ref="M77:M80"/>
    <mergeCell ref="N77:N80"/>
    <mergeCell ref="O77:O80"/>
    <mergeCell ref="F73:F74"/>
    <mergeCell ref="F77:F80"/>
    <mergeCell ref="G77:G80"/>
    <mergeCell ref="H77:H80"/>
    <mergeCell ref="I77:I80"/>
    <mergeCell ref="J77:J80"/>
    <mergeCell ref="K77:K80"/>
    <mergeCell ref="N73:N74"/>
    <mergeCell ref="O73:O74"/>
    <mergeCell ref="M62:M74"/>
    <mergeCell ref="G67:G68"/>
    <mergeCell ref="H67:H68"/>
    <mergeCell ref="I67:I68"/>
    <mergeCell ref="J67:J68"/>
    <mergeCell ref="K67:K68"/>
    <mergeCell ref="L67:L68"/>
    <mergeCell ref="F67:F68"/>
    <mergeCell ref="G69:G70"/>
    <mergeCell ref="H69:H70"/>
    <mergeCell ref="I69:I70"/>
    <mergeCell ref="J69:J70"/>
    <mergeCell ref="K69:K70"/>
    <mergeCell ref="L69:L70"/>
    <mergeCell ref="G63:G64"/>
    <mergeCell ref="H63:H64"/>
    <mergeCell ref="I63:I64"/>
    <mergeCell ref="J63:J64"/>
    <mergeCell ref="K63:K64"/>
    <mergeCell ref="L63:L64"/>
    <mergeCell ref="F63:F64"/>
    <mergeCell ref="G65:G66"/>
    <mergeCell ref="H65:H66"/>
    <mergeCell ref="I65:I66"/>
    <mergeCell ref="J65:J66"/>
    <mergeCell ref="K65:K66"/>
    <mergeCell ref="L65:L66"/>
    <mergeCell ref="F65:F66"/>
    <mergeCell ref="I54:I55"/>
    <mergeCell ref="J54:J55"/>
    <mergeCell ref="L57:L60"/>
    <mergeCell ref="M57:M60"/>
    <mergeCell ref="N57:N60"/>
    <mergeCell ref="O57:O60"/>
    <mergeCell ref="F52:F53"/>
    <mergeCell ref="G52:G53"/>
    <mergeCell ref="H52:H53"/>
    <mergeCell ref="I52:I53"/>
    <mergeCell ref="J52:J53"/>
    <mergeCell ref="K52:K53"/>
    <mergeCell ref="K54:K55"/>
    <mergeCell ref="F54:F55"/>
    <mergeCell ref="G54:G55"/>
    <mergeCell ref="H54:H55"/>
    <mergeCell ref="F57:F60"/>
    <mergeCell ref="G57:G60"/>
    <mergeCell ref="H57:H60"/>
    <mergeCell ref="I57:I60"/>
    <mergeCell ref="J57:J60"/>
    <mergeCell ref="K57:K60"/>
    <mergeCell ref="F69:F70"/>
    <mergeCell ref="G71:G72"/>
    <mergeCell ref="H71:H72"/>
    <mergeCell ref="I71:I72"/>
    <mergeCell ref="J71:J72"/>
    <mergeCell ref="K71:K72"/>
    <mergeCell ref="L71:L72"/>
    <mergeCell ref="F71:F72"/>
    <mergeCell ref="G73:G74"/>
    <mergeCell ref="H73:H74"/>
    <mergeCell ref="I73:I74"/>
    <mergeCell ref="J73:J74"/>
    <mergeCell ref="K73:K74"/>
    <mergeCell ref="L73:L74"/>
  </mergeCells>
  <hyperlinks>
    <hyperlink ref="K37" r:id="rId1" xr:uid="{00000000-0004-0000-0000-000000000000}"/>
    <hyperlink ref="C77" r:id="rId2" xr:uid="{00000000-0004-0000-0000-000001000000}"/>
    <hyperlink ref="K77" r:id="rId3" xr:uid="{00000000-0004-0000-0000-000002000000}"/>
    <hyperlink ref="K82" r:id="rId4" xr:uid="{00000000-0004-0000-0000-000003000000}"/>
    <hyperlink ref="K175" r:id="rId5" xr:uid="{00000000-0004-0000-0000-000004000000}"/>
  </hyperlinks>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LKE Desa dan Kako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BPS</dc:creator>
  <cp:lastModifiedBy>Axioo Pongo</cp:lastModifiedBy>
  <dcterms:created xsi:type="dcterms:W3CDTF">2023-08-13T02:28:42Z</dcterms:created>
  <dcterms:modified xsi:type="dcterms:W3CDTF">2026-03-30T04:28:15Z</dcterms:modified>
</cp:coreProperties>
</file>